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nduan" sheetId="1" state="visible" r:id="rId3"/>
    <sheet name="Bank Soal" sheetId="2" state="visible" r:id="rId4"/>
    <sheet name="Ringkasan" sheetId="3" state="visible" r:id="rId5"/>
  </sheets>
  <definedNames>
    <definedName function="false" hidden="true" localSheetId="1" name="_xlnm._FilterDatabase" vbProcedure="false">'Bank Soal'!$A$1:$X$67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<sst xmlns="http://schemas.openxmlformats.org/spreadsheetml/2006/main" count="1376" uniqueCount="855">
  <si>
    <t xml:space="preserve">Bank Soal — Jejak Inderasakti: Jelajah Pulau Penyengat</t>
  </si>
  <si>
    <t xml:space="preserve">Disusun 2026-09-20 · sesuai skema tabel `questions` di Architecture Plan dan aturan komposisi soal di About Game / Design Document.</t>
  </si>
  <si>
    <t xml:space="preserve">1) Struktur &amp; jumlah soal</t>
  </si>
  <si>
    <t xml:space="preserve">Bank soal berisi 66 butir: 60 soal situs (12 per situs × 5 situs) + 6 soal cadangan lintas situs, sesuai target di dokumen About Game ('60 soal situs + 6 soal cadangan'). Semua soal sudah bilingual (Indonesia &amp; Inggris) dan siap dikonversi langsung menjadi seed/questions.json.</t>
  </si>
  <si>
    <t xml:space="preserve">2) Kenapa 12 soal per situs dibagi 5 Mudah / 4 Sedang / 3 Sulit?</t>
  </si>
  <si>
    <t xml:space="preserve">Komposisi soal per stage di About Game menuntut sampai 2 soal Mudah dalam satu sesi (mis. room SD stage 1: M,M,S), sementara soal Sulit hanya muncul mulai stage 2 ke atas dan hanya untuk jenjang SMP/SMA. Proporsi 5/4/3 memberi cadangan paling besar pada level yang paling sering dipakai (Mudah), cukup untuk level Sedang yang dipakai di semua jenjang, dan tetap menyediakan variasi pada level Sulit yang levelnya lebih jarang tapi tetap penting untuk jenjang atas. Proporsi ini sama untuk kelima situs supaya server bisa memilih soal dengan aturan yang konsisten.</t>
  </si>
  <si>
    <t xml:space="preserve">3) Keterbatasan yang perlu diketahui panitia</t>
  </si>
  <si>
    <t xml:space="preserve">Dengan hanya 5 soal Mudah per situs dan maksimal 5 room berjalan bersamaan yang masing-masing bisa butuh 2 soal Mudah, kemungkinan ada soal Mudah yang terpakai di lebih dari satu room dalam sesi yang sama — ini sesuai catatan Architecture Plan bahwa 5 room serentak 'tidak mendapat set yang PERSIS sama', bukan janji bahwa semua soal selalu unik antar-room. Jika ingin memperkecil pengulangan, tambahkan lebih banyak soal Mudah &amp; Sedang pasca-Kamis (lihat bagian 7).</t>
  </si>
  <si>
    <t xml:space="preserve">4) Struktur kolom (mengikuti tabel `questions` di Architecture Plan)</t>
  </si>
  <si>
    <t xml:space="preserve">• id — kode unik, format M{no situs}-{urutan} untuk soal situs (contoh M1-01) dan X-{urutan} untuk soal cadangan lintas situs.</t>
  </si>
  <si>
    <t xml:space="preserve">• site / site_name — nomor situs (1 Masjid Raya, 2 Makam Engku Putri &amp; RAH, 3 Istana Kantor, 4 Gedung Tabib, 5 Perigi Puteri, 0 = lintas situs/cadangan).</t>
  </si>
  <si>
    <t xml:space="preserve">• level / level_name — 1 Mudah, 2 Sedang, 3 Sulit, sesuai tabel Aturan Tingkat Kesulitan di About Game.</t>
  </si>
  <si>
    <t xml:space="preserve">• type — mc (pilihan ganda 4 opsi) atau tf (Benar/Salah, 2 opsi).</t>
  </si>
  <si>
    <t xml:space="preserve">• timer_detik, poin_dasar — nilai default per level (15/20/25 detik; 500/750/1000 poin) sesuai Sistem Poin di About Game, disalin di sini agar tim BE tidak perlu membuka dokumen lain saat membuat seed.</t>
  </si>
  <si>
    <t xml:space="preserve">• prompt_id / prompt_en — teks pertanyaan, dua bahasa.</t>
  </si>
  <si>
    <t xml:space="preserve">• opsi_a..d (_id/_en) — label tiap opsi; opsi tf hanya mengisi A &amp; B (Benar/Salah, True/False).</t>
  </si>
  <si>
    <t xml:space="preserve">• jawaban_benar — huruf opsi yang benar (A/B/C/D), dipakai server untuk memberi tanda `correct: true` saat mengonversi ke JSON opsi.</t>
  </si>
  <si>
    <t xml:space="preserve">• penjelasan_id / penjelasan_en — 1 kalimat pembahasan yang tampil 3 detik setelah soal dijawab (sesuai Design Document).</t>
  </si>
  <si>
    <t xml:space="preserve">• sumber — sumber riset untuk memudahkan validasi oleh juru pelihara situs / Yayasan Indrasakti / guru sejarah (pertanyaan terbuka di About Game).</t>
  </si>
  <si>
    <t xml:space="preserve">• status_validasi — kolom kerja untuk proses review sebelum uji Kamis; nilai default 'Draf - perlu validasi'.</t>
  </si>
  <si>
    <t xml:space="preserve">• active — TRUE/FALSE, dipakai untuk menonaktifkan soal yang terbukti bermasalah (misal dijawab salah oleh &gt;80% peserta) tanpa menghapus datanya, sesuai aturan pengambilan soal di About Game.</t>
  </si>
  <si>
    <t xml:space="preserve">5) Kenapa satu sheet bilingual, bukan dua tab terpisah (ID &amp; EN)?</t>
  </si>
  <si>
    <t xml:space="preserve">About Game menyebut dua tab: 'Bank Soal' (ID) dan 'Question Bank (EN)'. Di file ini keduanya digabung jadi satu baris per soal dengan kolom _id dan _en berdampingan. Alasannya: skema database questions menyimpan prompt/opsi/penjelasan sebagai JSONB {id, en} dalam SATU baris, jadi satu sheet bilingual bisa diubah jadi seed/questions.json dengan sekali proses tanpa harus mencocokkan ID antar dua tab yang terpisah — mengurangi risiko ID/EN tidak sinkron saat direvisi terpisah. Jika tim penerjemah lebih nyaman bekerja di tab tersendiri, salin kolom _en ke sheet baru menggunakan id sebagai kunci, lalu gabungkan kembali sebelum seeding.</t>
  </si>
  <si>
    <t xml:space="preserve">6) Alur pemakaian saat game berjalan</t>
  </si>
  <si>
    <t xml:space="preserve">• Saat room dibuat, server mengambil soal sesuai komposisi jenjang (lihat tabel Aturan Tingkat Kesulitan di About Game) secara acak dari kolom level &amp; site pada sheet Bank Soal, memfilter active = TRUE.</t>
  </si>
  <si>
    <t xml:space="preserve">• Urutan opsi jawaban diacak PER PESERTA oleh server saat runtime — sheet ini menyimpan opsi dalam urutan tetap (A/B/C/D) hanya sebagai sumber data, bukan urutan tampil final.</t>
  </si>
  <si>
    <t xml:space="preserve">• Soal Benar/Salah (type = tf) memakai opsi A ('Benar'/'True') dan B ('Salah'/'False') saja, sesuai catatan Design Document bagian Bahasa Visual.</t>
  </si>
  <si>
    <t xml:space="preserve">• Soal yang dijawab salah oleh &gt;80% peserta ditandai untuk ditinjau panitia (About Game) — gunakan kolom status_validasi untuk mencatat ini, lalu set active = FALSE bila memang perlu ditarik sementara.</t>
  </si>
  <si>
    <t xml:space="preserve">7) Rekomendasi pengembangan bank soal setelah launch</t>
  </si>
  <si>
    <t xml:space="preserve">• Tambah soal Mudah &amp; Sedang per situs (idealnya ≥8 Mudah dan ≥6 Sedang per situs) begitu ada waktu, supaya 5 room serentak + pemain yang main ulang mendapat variasi lebih besar tanpa mengulang soal.</t>
  </si>
  <si>
    <t xml:space="preserve">• Sebelum uji Kamis, minta juru pelihara situs / Yayasan Indrasakti / guru sejarah memvalidasi baris dengan status_validasi 'Draf - perlu validasi', terutama 12 soal Sulit tipe 'manakah yang salah' karena butuh ketelitian ekstra memastikan hanya 1 opsi yang benar-benar salah.</t>
  </si>
  <si>
    <t xml:space="preserve">• Terjemahan Inggris pada kolom _en sudah dibuat sekaligus dengan versi Indonesia; tetap perlu direview native/fasih Inggris sebelum dipakai peserta asing sesuai pertanyaan terbuka 'siapa yang mereview terjemahan Inggris' di About Game.</t>
  </si>
  <si>
    <t xml:space="preserve">• Jika nanti menambah situs baru atau mengganti jenjang komposisi, jaga pola ID (M{site}-{urutan}) agar referensi lama di contracts/ tidak putus.</t>
  </si>
  <si>
    <t xml:space="preserve">8) Sheet lain dalam file ini</t>
  </si>
  <si>
    <t xml:space="preserve">• 'Bank Soal' — seluruh 66 butir soal siap pakai (baca di sini untuk membuat seed/questions.json).</t>
  </si>
  <si>
    <t xml:space="preserve">• 'Ringkasan' — rekap jumlah soal per situs &amp; level dengan formula COUNTIFS, untuk memeriksa cepat apakah distribusi masih sesuai target 5/4/3 setiap kali sheet Bank Soal diedit.</t>
  </si>
  <si>
    <t xml:space="preserve">id</t>
  </si>
  <si>
    <t xml:space="preserve">site</t>
  </si>
  <si>
    <t xml:space="preserve">site_name</t>
  </si>
  <si>
    <t xml:space="preserve">level</t>
  </si>
  <si>
    <t xml:space="preserve">level_name</t>
  </si>
  <si>
    <t xml:space="preserve">type</t>
  </si>
  <si>
    <t xml:space="preserve">timer_detik</t>
  </si>
  <si>
    <t xml:space="preserve">poin_dasar</t>
  </si>
  <si>
    <t xml:space="preserve">prompt_id</t>
  </si>
  <si>
    <t xml:space="preserve">prompt_en</t>
  </si>
  <si>
    <t xml:space="preserve">opsi_a_id</t>
  </si>
  <si>
    <t xml:space="preserve">opsi_a_en</t>
  </si>
  <si>
    <t xml:space="preserve">opsi_b_id</t>
  </si>
  <si>
    <t xml:space="preserve">opsi_b_en</t>
  </si>
  <si>
    <t xml:space="preserve">opsi_c_id</t>
  </si>
  <si>
    <t xml:space="preserve">opsi_c_en</t>
  </si>
  <si>
    <t xml:space="preserve">opsi_d_id</t>
  </si>
  <si>
    <t xml:space="preserve">opsi_d_en</t>
  </si>
  <si>
    <t xml:space="preserve">jawaban_benar</t>
  </si>
  <si>
    <t xml:space="preserve">penjelasan_id</t>
  </si>
  <si>
    <t xml:space="preserve">penjelasan_en</t>
  </si>
  <si>
    <t xml:space="preserve">sumber</t>
  </si>
  <si>
    <t xml:space="preserve">status_validasi</t>
  </si>
  <si>
    <t xml:space="preserve">active</t>
  </si>
  <si>
    <t xml:space="preserve">M1-01</t>
  </si>
  <si>
    <t xml:space="preserve">Masjid Raya</t>
  </si>
  <si>
    <t xml:space="preserve">Mudah</t>
  </si>
  <si>
    <t xml:space="preserve">mc</t>
  </si>
  <si>
    <t xml:space="preserve">Berapa jumlah kubah di atap Masjid Raya Sultan Riau?</t>
  </si>
  <si>
    <t xml:space="preserve">How many domes does the Masjid Raya Sultan Riau have on its roof?</t>
  </si>
  <si>
    <t xml:space="preserve">9</t>
  </si>
  <si>
    <t xml:space="preserve">13</t>
  </si>
  <si>
    <t xml:space="preserve">17</t>
  </si>
  <si>
    <t xml:space="preserve">21</t>
  </si>
  <si>
    <t xml:space="preserve">B</t>
  </si>
  <si>
    <t xml:space="preserve">Masjid ini memiliki 13 kubah yang tersusun berbaris di atasnya.</t>
  </si>
  <si>
    <t xml:space="preserve">The mosque has 13 domes arranged in rows on its roof.</t>
  </si>
  <si>
    <t xml:space="preserve">Wikipedia ID - Masjid Raya Sultan Riau; Republika 2020</t>
  </si>
  <si>
    <t xml:space="preserve">Draf - perlu validasi</t>
  </si>
  <si>
    <t xml:space="preserve">TRUE</t>
  </si>
  <si>
    <t xml:space="preserve">M1-02</t>
  </si>
  <si>
    <t xml:space="preserve">Ada berapa menara di sudut-sudut Masjid Raya Sultan Riau?</t>
  </si>
  <si>
    <t xml:space="preserve">How many minarets stand at the corners of Masjid Raya Sultan Riau?</t>
  </si>
  <si>
    <t xml:space="preserve">2</t>
  </si>
  <si>
    <t xml:space="preserve">4</t>
  </si>
  <si>
    <t xml:space="preserve">6</t>
  </si>
  <si>
    <t xml:space="preserve">8</t>
  </si>
  <si>
    <t xml:space="preserve">Di setiap sudut masjid terdapat menara, totalnya 4 menara setinggi 18,9 meter.</t>
  </si>
  <si>
    <t xml:space="preserve">Each corner of the mosque has a minaret, four in total, each 18.9 metres tall.</t>
  </si>
  <si>
    <t xml:space="preserve">Wikipedia ID - Masjid Raya Sultan Riau</t>
  </si>
  <si>
    <t xml:space="preserve">M1-03</t>
  </si>
  <si>
    <t xml:space="preserve">tf</t>
  </si>
  <si>
    <t xml:space="preserve">Benar atau Salah: dinding Masjid Raya Sultan Riau memakai campuran putih telur sebagai bahan perekat.</t>
  </si>
  <si>
    <t xml:space="preserve">True or False: the walls of Masjid Raya Sultan Riau used egg white mixed in as a binding material.</t>
  </si>
  <si>
    <t xml:space="preserve">Benar</t>
  </si>
  <si>
    <t xml:space="preserve">True</t>
  </si>
  <si>
    <t xml:space="preserve">Salah</t>
  </si>
  <si>
    <t xml:space="preserve">False</t>
  </si>
  <si>
    <t xml:space="preserve">A</t>
  </si>
  <si>
    <t xml:space="preserve">Warga sekitar mengumpulkan putih telur untuk dicampur kapur dan pasir sebagai pengganti semen.</t>
  </si>
  <si>
    <t xml:space="preserve">Local residents collected egg whites to mix with lime and sand as a substitute for cement.</t>
  </si>
  <si>
    <t xml:space="preserve">Tempo.co 2021; CNN Indonesia 2024</t>
  </si>
  <si>
    <t xml:space="preserve">M1-04</t>
  </si>
  <si>
    <t xml:space="preserve">Apa warna utama bangunan Masjid Raya Sultan Riau yang tampak dari kejauhan?</t>
  </si>
  <si>
    <t xml:space="preserve">What is the main colour of Masjid Raya Sultan Riau as seen from a distance?</t>
  </si>
  <si>
    <t xml:space="preserve">Kuning cerah berpadu hijau</t>
  </si>
  <si>
    <t xml:space="preserve">Bright yellow with green accents</t>
  </si>
  <si>
    <t xml:space="preserve">Putih polos</t>
  </si>
  <si>
    <t xml:space="preserve">Plain white</t>
  </si>
  <si>
    <t xml:space="preserve">Merah bata</t>
  </si>
  <si>
    <t xml:space="preserve">Brick red</t>
  </si>
  <si>
    <t xml:space="preserve">Biru laut</t>
  </si>
  <si>
    <t xml:space="preserve">Sea blue</t>
  </si>
  <si>
    <t xml:space="preserve">Masjid ini dikenal berwarna kuning cerah berpadu hijau, mencolok dari kejauhan.</t>
  </si>
  <si>
    <t xml:space="preserve">The mosque is known for its bright yellow colour with green accents, standing out from afar.</t>
  </si>
  <si>
    <t xml:space="preserve">Budaya-Indonesia.org; Disbudpar Tanjungpinang</t>
  </si>
  <si>
    <t xml:space="preserve">M1-05</t>
  </si>
  <si>
    <t xml:space="preserve">Berapa jumlah rumah sotoh yang berada di halaman Masjid Raya Sultan Riau?</t>
  </si>
  <si>
    <t xml:space="preserve">How many 'rumah sotoh' (open pavilions) stand in the mosque's courtyard?</t>
  </si>
  <si>
    <t xml:space="preserve">1</t>
  </si>
  <si>
    <t xml:space="preserve">3</t>
  </si>
  <si>
    <t xml:space="preserve">Ada dua rumah sotoh di halaman masjid, untuk musafir menginap dan tempat bermusyawarah.</t>
  </si>
  <si>
    <t xml:space="preserve">Two rumah sotoh stand in the courtyard, used for travellers to stay and for community meetings.</t>
  </si>
  <si>
    <t xml:space="preserve">M1-06</t>
  </si>
  <si>
    <t xml:space="preserve">Sedang</t>
  </si>
  <si>
    <t xml:space="preserve">Jika jumlah kubah (13) dan menara (4) Masjid Raya Sultan Riau dijumlahkan, angka 17 itu melambangkan apa?</t>
  </si>
  <si>
    <t xml:space="preserve">If the mosque's domes (13) and minarets (4) are added together to make 17, what does that number symbolise?</t>
  </si>
  <si>
    <t xml:space="preserve">Jumlah wali songo</t>
  </si>
  <si>
    <t xml:space="preserve">The nine Wali Songo</t>
  </si>
  <si>
    <t xml:space="preserve">Jumlah rakaat sholat fardu sehari semalam</t>
  </si>
  <si>
    <t xml:space="preserve">The number of daily obligatory prayer cycles (rakaat)</t>
  </si>
  <si>
    <t xml:space="preserve">Jumlah tahun pembangunan</t>
  </si>
  <si>
    <t xml:space="preserve">The number of years of construction</t>
  </si>
  <si>
    <t xml:space="preserve">Jumlah kerajaan Melayu</t>
  </si>
  <si>
    <t xml:space="preserve">The number of Malay kingdoms</t>
  </si>
  <si>
    <t xml:space="preserve">Total 17 kubah dan menara dimaknai sebagai jumlah rakaat sholat fardu yang dikerjakan umat Islam tiap hari.</t>
  </si>
  <si>
    <t xml:space="preserve">The total of 17 domes and minarets is meant to symbolise the 17 daily obligatory prayer cycles in Islam.</t>
  </si>
  <si>
    <t xml:space="preserve">CNN Indonesia 2024; Disbudpar Tanjungpinang</t>
  </si>
  <si>
    <t xml:space="preserve">M1-07</t>
  </si>
  <si>
    <t xml:space="preserve">Siapa Yang Dipertuan Muda yang memerintahkan renovasi Masjid Raya ke bentuk megah yang terlihat sekarang pada 1832?</t>
  </si>
  <si>
    <t xml:space="preserve">Which Yang Dipertuan Muda ordered the mosque's 1832 renovation into the grand form seen today?</t>
  </si>
  <si>
    <t xml:space="preserve">Raja Ali Haji</t>
  </si>
  <si>
    <t xml:space="preserve">Raja Abdurrahman (YDM VII)</t>
  </si>
  <si>
    <t xml:space="preserve">Raja Abdurrahman (7th Yang Dipertuan Muda)</t>
  </si>
  <si>
    <t xml:space="preserve">Raja Haji Fisabilillah</t>
  </si>
  <si>
    <t xml:space="preserve">Raja Daud</t>
  </si>
  <si>
    <t xml:space="preserve">Raja Abdurrahman, Yang Dipertuan Muda Riau VII, mengajak warga bergotong royong merenovasi masjid ke bentuk sekarang pada 1832.</t>
  </si>
  <si>
    <t xml:space="preserve">Raja Abdurrahman, the 7th Yang Dipertuan Muda of Riau, led the community effort to renovate the mosque into its present form in 1832.</t>
  </si>
  <si>
    <t xml:space="preserve">Koreksi riset About Game (Kemdikbud 2018); budaya-indonesia.org</t>
  </si>
  <si>
    <t xml:space="preserve">M1-08</t>
  </si>
  <si>
    <t xml:space="preserve">Apa fungsi utama rumah sotoh di halaman Masjid Raya Sultan Riau?</t>
  </si>
  <si>
    <t xml:space="preserve">What was the main function of the rumah sotoh in the mosque's courtyard?</t>
  </si>
  <si>
    <t xml:space="preserve">Menyimpan senjata kerajaan</t>
  </si>
  <si>
    <t xml:space="preserve">Storing the kingdom's weapons</t>
  </si>
  <si>
    <t xml:space="preserve">Tempat musafir bermalam dan bermusyawarah</t>
  </si>
  <si>
    <t xml:space="preserve">A place for travellers to stay and for community meetings</t>
  </si>
  <si>
    <t xml:space="preserve">Rumah tinggal sultan</t>
  </si>
  <si>
    <t xml:space="preserve">The sultan's residence</t>
  </si>
  <si>
    <t xml:space="preserve">Tempat memandikan jenazah</t>
  </si>
  <si>
    <t xml:space="preserve">A place to wash the deceased</t>
  </si>
  <si>
    <t xml:space="preserve">Rumah sotoh berfungsi sebagai tempat singgah musafir sekaligus lokasi musyawarah warga.</t>
  </si>
  <si>
    <t xml:space="preserve">The rumah sotoh served as a resting place for travellers and as a venue for community discussions.</t>
  </si>
  <si>
    <t xml:space="preserve">M1-09</t>
  </si>
  <si>
    <t xml:space="preserve">Apa nama galeri di dalam Masjid Raya yang menyimpan naskah kuno tulisan tangan?</t>
  </si>
  <si>
    <t xml:space="preserve">What is the name of the gallery inside Masjid Raya that houses handwritten ancient manuscripts?</t>
  </si>
  <si>
    <t xml:space="preserve">Galeri Kutubkhanah</t>
  </si>
  <si>
    <t xml:space="preserve">Kutubkhanah Gallery</t>
  </si>
  <si>
    <t xml:space="preserve">Balai Adat</t>
  </si>
  <si>
    <t xml:space="preserve">Rumah Baca</t>
  </si>
  <si>
    <t xml:space="preserve">Rumah Baca (Reading House)</t>
  </si>
  <si>
    <t xml:space="preserve">Gedung Arsip</t>
  </si>
  <si>
    <t xml:space="preserve">Archive Building</t>
  </si>
  <si>
    <t xml:space="preserve">Galeri Kutubkhanah atau perpustakaan Marhum Ahmadi menyimpan kitab-kitab tulisan tangan tentang ilmu pengetahuan.</t>
  </si>
  <si>
    <t xml:space="preserve">The Kutubkhanah Gallery, or Marhum Ahmadi library, holds handwritten manuscripts on various fields of knowledge.</t>
  </si>
  <si>
    <t xml:space="preserve">Gatra.com 2024</t>
  </si>
  <si>
    <t xml:space="preserve">M1-10</t>
  </si>
  <si>
    <t xml:space="preserve">Sulit</t>
  </si>
  <si>
    <t xml:space="preserve">Manakah urutan sejarah pembangunan Masjid Raya Sultan Riau yang PALING tepat?</t>
  </si>
  <si>
    <t xml:space="preserve">Which of these BEST describes the historical construction sequence of Masjid Raya Sultan Riau?</t>
  </si>
  <si>
    <t xml:space="preserve">Dibangun langsung megah dari batu pada 1832 tanpa bangunan sebelumnya</t>
  </si>
  <si>
    <t xml:space="preserve">Built directly as a grand stone structure in 1832 with no earlier building</t>
  </si>
  <si>
    <t xml:space="preserve">Awalnya bangunan sederhana berbahan kayu dan bata sejak awal abad ke-19, lalu direnovasi ke bentuk sekarang pada 1832</t>
  </si>
  <si>
    <t xml:space="preserve">Originally a simple wood-and-brick structure from the early 19th century, later renovated into its present form in 1832</t>
  </si>
  <si>
    <t xml:space="preserve">Dibangun oleh pemerintah kolonial pada abad ke-20</t>
  </si>
  <si>
    <t xml:space="preserve">Built by the colonial government in the 20th century</t>
  </si>
  <si>
    <t xml:space="preserve">Direnovasi pertama kali pada 1900-an</t>
  </si>
  <si>
    <t xml:space="preserve">First renovated in the 1900s</t>
  </si>
  <si>
    <t xml:space="preserve">Masjid mulanya sederhana sejak awal abad ke-19, lalu direnovasi menjadi bentuk megah sekarang pada 1832 atas perintah Raja Abdurrahman.</t>
  </si>
  <si>
    <t xml:space="preserve">The mosque began as a simple structure in the early 19th century, then was renovated into its grand present form in 1832 under Raja Abdurrahman.</t>
  </si>
  <si>
    <t xml:space="preserve">Koreksi riset About Game; NU Online 2009; Republika 2020</t>
  </si>
  <si>
    <t xml:space="preserve">M1-11</t>
  </si>
  <si>
    <t xml:space="preserve">Mengapa Masjid Raya Sultan Riau disebut istimewa di antara peninggalan Kerajaan Riau-Lingga?</t>
  </si>
  <si>
    <t xml:space="preserve">Why is Masjid Raya Sultan Riau considered special among the Riau-Lingga Kingdom's remaining heritage sites?</t>
  </si>
  <si>
    <t xml:space="preserve">Karena satu-satunya masjid berkubah emas di Indonesia</t>
  </si>
  <si>
    <t xml:space="preserve">Because it is the only gold-domed mosque in Indonesia</t>
  </si>
  <si>
    <t xml:space="preserve">Karena masih berdiri utuh dan tetap dipakai warga beribadah hingga kini</t>
  </si>
  <si>
    <t xml:space="preserve">Because it still stands intact and is still used by residents for worship today</t>
  </si>
  <si>
    <t xml:space="preserve">Karena dibangun terakhir kali oleh Belanda</t>
  </si>
  <si>
    <t xml:space="preserve">Because it was last built by the Dutch</t>
  </si>
  <si>
    <t xml:space="preserve">Karena tidak memiliki menara</t>
  </si>
  <si>
    <t xml:space="preserve">Because it has no minarets</t>
  </si>
  <si>
    <t xml:space="preserve">Masjid ini dianggap satu-satunya peninggalan Kerajaan Riau-Lingga yang masih utuh dan tetap digunakan untuk ibadah.</t>
  </si>
  <si>
    <t xml:space="preserve">The mosque is considered the only intact remaining heritage of the Riau-Lingga Kingdom, still actively used for worship.</t>
  </si>
  <si>
    <t xml:space="preserve">M1-12</t>
  </si>
  <si>
    <t xml:space="preserve">Manakah pernyataan yang SALAH tentang Masjid Raya Sultan Riau?</t>
  </si>
  <si>
    <t xml:space="preserve">Which of these statements about Masjid Raya Sultan Riau is INCORRECT?</t>
  </si>
  <si>
    <t xml:space="preserve">Memiliki 13 kubah dan 4 menara</t>
  </si>
  <si>
    <t xml:space="preserve">It has 13 domes and 4 minarets</t>
  </si>
  <si>
    <t xml:space="preserve">Bahan perekat dindingnya memakai campuran putih telur</t>
  </si>
  <si>
    <t xml:space="preserve">Its wall binder includes a mixture of egg white</t>
  </si>
  <si>
    <t xml:space="preserve">Dibangun dari beton bertulang modern sejak awal berdiri</t>
  </si>
  <si>
    <t xml:space="preserve">It was built from modern reinforced concrete from the very start</t>
  </si>
  <si>
    <t xml:space="preserve">Warna utamanya kuning berpadu hijau</t>
  </si>
  <si>
    <t xml:space="preserve">Its main colour is yellow with green accents</t>
  </si>
  <si>
    <t xml:space="preserve">C</t>
  </si>
  <si>
    <t xml:space="preserve">Masjid ini awalnya bangunan sederhana berbahan kayu dan bata; teknologi semen dan beton modern belum dikenal saat direnovasi pada 1832.</t>
  </si>
  <si>
    <t xml:space="preserve">The mosque was originally a simple wood-and-brick building; modern cement and concrete technology were not yet known when it was renovated in 1832.</t>
  </si>
  <si>
    <t xml:space="preserve">NU Online 2009; Tempo.co 2021</t>
  </si>
  <si>
    <t xml:space="preserve">M2-01</t>
  </si>
  <si>
    <t xml:space="preserve">Makam Engku Putri &amp; RAH</t>
  </si>
  <si>
    <t xml:space="preserve">Siapa nama asli Engku Putri yang dimakamkan di kompleks ini?</t>
  </si>
  <si>
    <t xml:space="preserve">What is the birth name of Engku Putri, buried in this tomb complex?</t>
  </si>
  <si>
    <t xml:space="preserve">Raja Hamidah</t>
  </si>
  <si>
    <t xml:space="preserve">Raja Aisyah</t>
  </si>
  <si>
    <t xml:space="preserve">Raja Siti</t>
  </si>
  <si>
    <t xml:space="preserve">Raja Fatimah</t>
  </si>
  <si>
    <t xml:space="preserve">Engku Putri dikenal juga dengan nama Raja Hamidah, permaisuri Sultan Mahmud Riayat Syah III.</t>
  </si>
  <si>
    <t xml:space="preserve">Engku Putri is also known as Raja Hamidah, the consort of Sultan Mahmud Riayat Syah III.</t>
  </si>
  <si>
    <t xml:space="preserve">Disbudpar Tanjungpinang; Wikipedia ID - Engku Puteri Raja Hamidah</t>
  </si>
  <si>
    <t xml:space="preserve">M2-02</t>
  </si>
  <si>
    <t xml:space="preserve">Engku Putri adalah putri dari tokoh kerajaan bernama...</t>
  </si>
  <si>
    <t xml:space="preserve">Engku Putri was the daughter of which royal figure?</t>
  </si>
  <si>
    <t xml:space="preserve">Raja Ahmad</t>
  </si>
  <si>
    <t xml:space="preserve">Engku Putri (Raja Hamidah) adalah putri Raja Haji Fisabilillah, Yang Dipertuan Muda Riau IV.</t>
  </si>
  <si>
    <t xml:space="preserve">Engku Putri (Raja Hamidah) was the daughter of Raja Haji Fisabilillah, the 4th Yang Dipertuan Muda of Riau.</t>
  </si>
  <si>
    <t xml:space="preserve">Melayupedia.com; Disbudpar Tanjungpinang</t>
  </si>
  <si>
    <t xml:space="preserve">M2-03</t>
  </si>
  <si>
    <t xml:space="preserve">Benar atau Salah: Pulau Penyengat diberikan sebagai mahar/mas kawin kepada Engku Putri.</t>
  </si>
  <si>
    <t xml:space="preserve">True or False: Penyengat Island was given as a dowry to Engku Putri.</t>
  </si>
  <si>
    <t xml:space="preserve">Menurut cerita yang berkembang, Pulau Penyengat diberikan sebagai mahar kepada Engku Putri pada awal abad ke-19.</t>
  </si>
  <si>
    <t xml:space="preserve">According to popular accounts, Penyengat Island was given as a dowry to Engku Putri in the early 19th century.</t>
  </si>
  <si>
    <t xml:space="preserve">Koreksi riset About Game (tahun tidak dipastikan, dipakai 'awal abad ke-19')</t>
  </si>
  <si>
    <t xml:space="preserve">M2-04</t>
  </si>
  <si>
    <t xml:space="preserve">Selain Engku Putri, tokoh pujangga apa yang juga dimakamkan di kompleks ini?</t>
  </si>
  <si>
    <t xml:space="preserve">Besides Engku Putri, which literary figure is also buried in this complex?</t>
  </si>
  <si>
    <t xml:space="preserve">Raja Kecik</t>
  </si>
  <si>
    <t xml:space="preserve">Raja Ismail</t>
  </si>
  <si>
    <t xml:space="preserve">Raja Muhammad</t>
  </si>
  <si>
    <t xml:space="preserve">Raja Ali Haji, pengarang Gurindam Dua Belas dan Pahlawan Nasional, dimakamkan di kompleks makam ini.</t>
  </si>
  <si>
    <t xml:space="preserve">Raja Ali Haji, author of Gurindam Dua Belas and a National Hero, is buried in this tomb complex.</t>
  </si>
  <si>
    <t xml:space="preserve">Tempo.co - Data Foto 2013; Wikipedia ID</t>
  </si>
  <si>
    <t xml:space="preserve">M2-05</t>
  </si>
  <si>
    <t xml:space="preserve">Raja Abdurrahman yang dimakamkan di kompleks ini menjabat sebagai...</t>
  </si>
  <si>
    <t xml:space="preserve">What title did Raja Abdurrahman, buried in this complex, hold?</t>
  </si>
  <si>
    <t xml:space="preserve">Yang Dipertuan Muda Riau VII</t>
  </si>
  <si>
    <t xml:space="preserve">7th Yang Dipertuan Muda of Riau</t>
  </si>
  <si>
    <t xml:space="preserve">Tabib kerajaan</t>
  </si>
  <si>
    <t xml:space="preserve">The kingdom's royal physician</t>
  </si>
  <si>
    <t xml:space="preserve">Panglima laut</t>
  </si>
  <si>
    <t xml:space="preserve">Naval commander</t>
  </si>
  <si>
    <t xml:space="preserve">Bendahara kerajaan</t>
  </si>
  <si>
    <t xml:space="preserve">Kingdom's treasurer</t>
  </si>
  <si>
    <t xml:space="preserve">Raja Abdurrahman adalah Yang Dipertuan Muda Riau VII yang memerintahkan renovasi Masjid Raya pada 1832.</t>
  </si>
  <si>
    <t xml:space="preserve">Raja Abdurrahman was the 7th Yang Dipertuan Muda of Riau, who ordered the mosque's renovation in 1832.</t>
  </si>
  <si>
    <t xml:space="preserve">Koreksi riset About Game; budaya-indonesia.org</t>
  </si>
  <si>
    <t xml:space="preserve">M2-06</t>
  </si>
  <si>
    <t xml:space="preserve">Apa fungsi 'regalia' kerajaan yang dijaga oleh Engku Putri semasa hidupnya?</t>
  </si>
  <si>
    <t xml:space="preserve">What was the function of the royal 'regalia' guarded by Engku Putri during her lifetime?</t>
  </si>
  <si>
    <t xml:space="preserve">Sebagai alat kebesaran wajib untuk penobatan Sultan agar sah menurut adat</t>
  </si>
  <si>
    <t xml:space="preserve">As ceremonial royal items required to legitimise a Sultan's coronation by custom</t>
  </si>
  <si>
    <t xml:space="preserve">Sebagai mas kawin untuk anaknya</t>
  </si>
  <si>
    <t xml:space="preserve">As a dowry for her child</t>
  </si>
  <si>
    <t xml:space="preserve">Sebagai perhiasan pribadi</t>
  </si>
  <si>
    <t xml:space="preserve">As personal jewellery</t>
  </si>
  <si>
    <t xml:space="preserve">Sebagai alat berperang</t>
  </si>
  <si>
    <t xml:space="preserve">As weapons of war</t>
  </si>
  <si>
    <t xml:space="preserve">Regalia terdiri dari cogan, tepak sirih, ketor, keris panjang, dan nobat, yang wajib ada saat pelantikan Sultan agar sah menurut adat.</t>
  </si>
  <si>
    <t xml:space="preserve">The regalia included a cogan, betel-nut set, ketor, long keris, and nobat drum, all required for a Sultan's coronation to be considered legitimate by custom.</t>
  </si>
  <si>
    <t xml:space="preserve">Wikipedia ID - Engku Puteri Raja Hamidah; Disbudpar Tanjungpinang</t>
  </si>
  <si>
    <t xml:space="preserve">M2-07</t>
  </si>
  <si>
    <t xml:space="preserve">Mengapa Raja Abdurrahman penting dalam sejarah Masjid Raya Sultan Riau?</t>
  </si>
  <si>
    <t xml:space="preserve">Why is Raja Abdurrahman important to the history of Masjid Raya Sultan Riau?</t>
  </si>
  <si>
    <t xml:space="preserve">Karena beliau memerintahkan renovasi masjid ke bentuk sekarang pada 1832</t>
  </si>
  <si>
    <t xml:space="preserve">Because he ordered the mosque's renovation into its present form in 1832</t>
  </si>
  <si>
    <t xml:space="preserve">Karena beliau membangun Istana Kantor</t>
  </si>
  <si>
    <t xml:space="preserve">Because he built Istana Kantor</t>
  </si>
  <si>
    <t xml:space="preserve">Karena beliau menulis Gurindam Dua Belas</t>
  </si>
  <si>
    <t xml:space="preserve">Because he wrote Gurindam Dua Belas</t>
  </si>
  <si>
    <t xml:space="preserve">Karena beliau seorang tabib</t>
  </si>
  <si>
    <t xml:space="preserve">Because he was a royal physician</t>
  </si>
  <si>
    <t xml:space="preserve">Sebagai Yang Dipertuan Muda Riau VII, Raja Abdurrahman mengajak warga bergotong royong merenovasi masjid pada 1832.</t>
  </si>
  <si>
    <t xml:space="preserve">As the 7th Yang Dipertuan Muda of Riau, Raja Abdurrahman led the community effort to renovate the mosque in 1832.</t>
  </si>
  <si>
    <t xml:space="preserve">Koreksi riset About Game</t>
  </si>
  <si>
    <t xml:space="preserve">M2-08</t>
  </si>
  <si>
    <t xml:space="preserve">Karya sastra apa yang teksnya tertulis di dinding bagian dalam kompleks makam ini?</t>
  </si>
  <si>
    <t xml:space="preserve">Which literary work is inscribed on the interior walls of this tomb complex?</t>
  </si>
  <si>
    <t xml:space="preserve">Kitab Ilmu Tabib</t>
  </si>
  <si>
    <t xml:space="preserve">Gurindam Dua Belas</t>
  </si>
  <si>
    <t xml:space="preserve">Kitab Pengetahuan Bahasa</t>
  </si>
  <si>
    <t xml:space="preserve">Hikayat Hang Tuah</t>
  </si>
  <si>
    <t xml:space="preserve">Di bagian dalam makam terdapat tulisan berisi pasal-pasal Gurindam Dua Belas karya Raja Ali Haji.</t>
  </si>
  <si>
    <t xml:space="preserve">The interior of the tomb bears inscriptions of the verses of Gurindam Dua Belas, written by Raja Ali Haji.</t>
  </si>
  <si>
    <t xml:space="preserve">Blog UIN Suka 2024</t>
  </si>
  <si>
    <t xml:space="preserve">M2-09</t>
  </si>
  <si>
    <t xml:space="preserve">Apa hubungan kekerabatan antara Engku Putri dan Raja Ali Haji?</t>
  </si>
  <si>
    <t xml:space="preserve">What is the family relationship between Engku Putri and Raja Ali Haji?</t>
  </si>
  <si>
    <t xml:space="preserve">Engku Putri adalah bibi Raja Ali Haji</t>
  </si>
  <si>
    <t xml:space="preserve">Engku Putri was Raja Ali Haji's aunt</t>
  </si>
  <si>
    <t xml:space="preserve">Mereka tidak memiliki hubungan keluarga</t>
  </si>
  <si>
    <t xml:space="preserve">They have no family relation</t>
  </si>
  <si>
    <t xml:space="preserve">Engku Putri adalah anak dari Raja Ali Haji</t>
  </si>
  <si>
    <t xml:space="preserve">Engku Putri was Raja Ali Haji's child</t>
  </si>
  <si>
    <t xml:space="preserve">Raja Ali Haji adalah kakek Engku Putri</t>
  </si>
  <si>
    <t xml:space="preserve">Raja Ali Haji was Engku Putri's grandfather</t>
  </si>
  <si>
    <t xml:space="preserve">Engku Putri dan Raja Ahmad (ayah Raja Ali Haji) sama-sama anak Raja Haji Fisabilillah, sehingga Engku Putri adalah bibi Raja Ali Haji.</t>
  </si>
  <si>
    <t xml:space="preserve">Engku Putri and Raja Ahmad (Raja Ali Haji's father) were both children of Raja Haji Fisabilillah, making Engku Putri the aunt of Raja Ali Haji.</t>
  </si>
  <si>
    <t xml:space="preserve">Kembara UMM; disimpulkan dari silsilah Raja Haji Fisabilillah</t>
  </si>
  <si>
    <t xml:space="preserve">M2-10</t>
  </si>
  <si>
    <t xml:space="preserve">Manakah pernyataan yang SALAH tentang Raja Abdurrahman dalam game ini?</t>
  </si>
  <si>
    <t xml:space="preserve">Which statement about Raja Abdurrahman in this game is INCORRECT?</t>
  </si>
  <si>
    <t xml:space="preserve">Beliau adalah Yang Dipertuan Muda Riau VII</t>
  </si>
  <si>
    <t xml:space="preserve">He was the 7th Yang Dipertuan Muda of Riau</t>
  </si>
  <si>
    <t xml:space="preserve">Beliau memerintahkan renovasi Masjid Raya pada 1832</t>
  </si>
  <si>
    <t xml:space="preserve">He ordered the mosque's renovation in 1832</t>
  </si>
  <si>
    <t xml:space="preserve">Beliau adalah penulis Gurindam Dua Belas</t>
  </si>
  <si>
    <t xml:space="preserve">He was the author of Gurindam Dua Belas</t>
  </si>
  <si>
    <t xml:space="preserve">Beliau dimakamkan di kompleks makam bangsawan Pulau Penyengat</t>
  </si>
  <si>
    <t xml:space="preserve">He is buried in the noble tomb complex on Penyengat Island</t>
  </si>
  <si>
    <t xml:space="preserve">Gurindam Dua Belas ditulis oleh Raja Ali Haji, bukan Raja Abdurrahman.</t>
  </si>
  <si>
    <t xml:space="preserve">Gurindam Dua Belas was written by Raja Ali Haji, not Raja Abdurrahman.</t>
  </si>
  <si>
    <t xml:space="preserve">M2-11</t>
  </si>
  <si>
    <t xml:space="preserve">Mengapa kompleks makam Engku Putri penting dalam sistem pemerintahan Kerajaan Riau-Lingga, bukan hanya sebagai tempat pemakaman?</t>
  </si>
  <si>
    <t xml:space="preserve">Why was Engku Putri's tomb complex important to the Riau-Lingga Kingdom's governance, beyond being a burial site?</t>
  </si>
  <si>
    <t xml:space="preserve">Karena regalia kerajaan dijaga olehnya, syarat sahnya penobatan Sultan</t>
  </si>
  <si>
    <t xml:space="preserve">Because she guarded the royal regalia, required for a Sultan's coronation to be valid</t>
  </si>
  <si>
    <t xml:space="preserve">Karena di sinilah pusat perdagangan kerajaan</t>
  </si>
  <si>
    <t xml:space="preserve">Because it was the kingdom's trade centre</t>
  </si>
  <si>
    <t xml:space="preserve">Karena di sinilah lokasi benteng pertahanan utama</t>
  </si>
  <si>
    <t xml:space="preserve">Because it was the main defence fortress</t>
  </si>
  <si>
    <t xml:space="preserve">Karena di sinilah pabrik senjata kerajaan</t>
  </si>
  <si>
    <t xml:space="preserve">Because it was the kingdom's weapons factory</t>
  </si>
  <si>
    <t xml:space="preserve">Engku Putri memegang regalia kerajaan yang menjadi syarat sah pelantikan Sultan menurut adat, menjadikannya tokoh penting dalam pemerintahan.</t>
  </si>
  <si>
    <t xml:space="preserve">Engku Putri held the royal regalia required by custom to legitimise a Sultan's coronation, making her a key figure in governance.</t>
  </si>
  <si>
    <t xml:space="preserve">Wikipedia ID - Engku Puteri Raja Hamidah</t>
  </si>
  <si>
    <t xml:space="preserve">M2-12</t>
  </si>
  <si>
    <t xml:space="preserve">Urutan peristiwa yang benar terkait dua tokoh di stage ini adalah...</t>
  </si>
  <si>
    <t xml:space="preserve">Which is the correct sequence of events involving the two figures in this stage?</t>
  </si>
  <si>
    <t xml:space="preserve">Raja Abdurrahman merenovasi masjid pada 1832, Engku Putri wafat pada 1844</t>
  </si>
  <si>
    <t xml:space="preserve">Raja Abdurrahman renovated the mosque in 1832; Engku Putri passed away in 1844</t>
  </si>
  <si>
    <t xml:space="preserve">Engku Putri merenovasi masjid, Raja Abdurrahman menulis Gurindam 12</t>
  </si>
  <si>
    <t xml:space="preserve">Engku Putri renovated the mosque; Raja Abdurrahman wrote Gurindam 12</t>
  </si>
  <si>
    <t xml:space="preserve">Keduanya adalah tabib kerajaan</t>
  </si>
  <si>
    <t xml:space="preserve">Both were royal physicians</t>
  </si>
  <si>
    <t xml:space="preserve">Keduanya memerintah sebagai Sultan pada waktu yang sama</t>
  </si>
  <si>
    <t xml:space="preserve">Both ruled as Sultan at the same time</t>
  </si>
  <si>
    <t xml:space="preserve">Raja Abdurrahman merenovasi Masjid Raya pada 1832; Engku Putri wafat pada 7 Juli 1844 di Pulau Penyengat.</t>
  </si>
  <si>
    <t xml:space="preserve">Raja Abdurrahman renovated Masjid Raya in 1832; Engku Putri passed away on 7 July 1844 on Penyengat Island.</t>
  </si>
  <si>
    <t xml:space="preserve">Disbudpar Tanjungpinang; Koreksi riset About Game</t>
  </si>
  <si>
    <t xml:space="preserve">M3-01</t>
  </si>
  <si>
    <t xml:space="preserve">Istana Kantor</t>
  </si>
  <si>
    <t xml:space="preserve">Istana Kantor merupakan kediaman dan kantor kerja dari...</t>
  </si>
  <si>
    <t xml:space="preserve">Istana Kantor served as the residence and workplace of...</t>
  </si>
  <si>
    <t xml:space="preserve">Raja Ali, Yang Dipertuan Muda VIII</t>
  </si>
  <si>
    <t xml:space="preserve">Raja Ali, the 8th Yang Dipertuan Muda</t>
  </si>
  <si>
    <t xml:space="preserve">Raja Abdurrahman</t>
  </si>
  <si>
    <t xml:space="preserve">Engku Putri</t>
  </si>
  <si>
    <t xml:space="preserve">Istana Kantor dibangun sebagai kediaman sekaligus kantor kerja Raja Ali, Yang Dipertuan Muda Riau-Lingga VIII.</t>
  </si>
  <si>
    <t xml:space="preserve">Istana Kantor was built as the residence and workplace of Raja Ali, the 8th Yang Dipertuan Muda of Riau-Lingga.</t>
  </si>
  <si>
    <t xml:space="preserve">Wikipedia ID - Istana Raja Ali Marhum; DisBud Kepri</t>
  </si>
  <si>
    <t xml:space="preserve">M3-02</t>
  </si>
  <si>
    <t xml:space="preserve">Istana Kantor dikelilingi oleh...</t>
  </si>
  <si>
    <t xml:space="preserve">What surrounds Istana Kantor?</t>
  </si>
  <si>
    <t xml:space="preserve">Parit air</t>
  </si>
  <si>
    <t xml:space="preserve">A water moat</t>
  </si>
  <si>
    <t xml:space="preserve">Tembok keliling dengan tiga pintu masuk</t>
  </si>
  <si>
    <t xml:space="preserve">A perimeter wall with three entrance gates</t>
  </si>
  <si>
    <t xml:space="preserve">Hutan bakau</t>
  </si>
  <si>
    <t xml:space="preserve">A mangrove forest</t>
  </si>
  <si>
    <t xml:space="preserve">Pagar bambu</t>
  </si>
  <si>
    <t xml:space="preserve">A bamboo fence</t>
  </si>
  <si>
    <t xml:space="preserve">Seluruh areal istana dibatasi tembok keliling dengan tiga pintu masuk dari arah barat, utara, dan timur.</t>
  </si>
  <si>
    <t xml:space="preserve">The whole palace grounds are enclosed by a perimeter wall with three entrance gates from the west, north, and east.</t>
  </si>
  <si>
    <t xml:space="preserve">DisBud Kepri; Kemdikbud - budaya.data.kemdikbud.go.id</t>
  </si>
  <si>
    <t xml:space="preserve">M3-03</t>
  </si>
  <si>
    <t xml:space="preserve">Berapa lantai bangunan utama Istana Kantor yang masih berdiri sekarang?</t>
  </si>
  <si>
    <t xml:space="preserve">How many storeys does the surviving main building of Istana Kantor have?</t>
  </si>
  <si>
    <t xml:space="preserve">Satu lantai</t>
  </si>
  <si>
    <t xml:space="preserve">One storey</t>
  </si>
  <si>
    <t xml:space="preserve">Dua lantai</t>
  </si>
  <si>
    <t xml:space="preserve">Two storeys</t>
  </si>
  <si>
    <t xml:space="preserve">Tiga lantai</t>
  </si>
  <si>
    <t xml:space="preserve">Three storeys</t>
  </si>
  <si>
    <t xml:space="preserve">Empat lantai</t>
  </si>
  <si>
    <t xml:space="preserve">Four storeys</t>
  </si>
  <si>
    <t xml:space="preserve">Bangunan utama yang tersisa adalah bangunan bertingkat dua.</t>
  </si>
  <si>
    <t xml:space="preserve">The surviving main building has two storeys.</t>
  </si>
  <si>
    <t xml:space="preserve">Wikipedia ID - Istana Raja Ali Marhum</t>
  </si>
  <si>
    <t xml:space="preserve">M3-04</t>
  </si>
  <si>
    <t xml:space="preserve">Benar atau Salah: salah satu pintu gerbang Istana Kantor berfungsi sebagai pos penjagaan dan pengintaian.</t>
  </si>
  <si>
    <t xml:space="preserve">True or False: one of Istana Kantor's gates functioned as a guard and lookout post.</t>
  </si>
  <si>
    <t xml:space="preserve">Pintu gapura di sisi barat berbentuk gapura berlantai dua yang berfungsi sebagai pos penjagaan dan pengintaian.</t>
  </si>
  <si>
    <t xml:space="preserve">The western gate is a two-storey gapura that served as a guard and lookout post.</t>
  </si>
  <si>
    <t xml:space="preserve">DisBud Kepri; Kemdikbud</t>
  </si>
  <si>
    <t xml:space="preserve">M3-05</t>
  </si>
  <si>
    <t xml:space="preserve">Sekitar tahun berapa Raja Ali memerintah sebagai Yang Dipertuan Muda VIII dan menempati Istana Kantor?</t>
  </si>
  <si>
    <t xml:space="preserve">Around which years did Raja Ali rule as the 8th Yang Dipertuan Muda and occupy Istana Kantor?</t>
  </si>
  <si>
    <t xml:space="preserve">1700-an</t>
  </si>
  <si>
    <t xml:space="preserve">1700s</t>
  </si>
  <si>
    <t xml:space="preserve">1780-an</t>
  </si>
  <si>
    <t xml:space="preserve">1780s</t>
  </si>
  <si>
    <t xml:space="preserve">1844-1857</t>
  </si>
  <si>
    <t xml:space="preserve">1900-an</t>
  </si>
  <si>
    <t xml:space="preserve">1900s</t>
  </si>
  <si>
    <t xml:space="preserve">Raja Ali, Yang Dipertuan Muda VIII, memerintah dan tinggal di Istana Kantor pada rentang 1844-1857.</t>
  </si>
  <si>
    <t xml:space="preserve">Raja Ali, the 8th Yang Dipertuan Muda, ruled and lived at Istana Kantor from 1844 to 1857.</t>
  </si>
  <si>
    <t xml:space="preserve">Koreksi riset About Game (rentang 1844-1857); Wikipedia ID</t>
  </si>
  <si>
    <t xml:space="preserve">M3-06</t>
  </si>
  <si>
    <t xml:space="preserve">Apa gaya arsitektur yang tampak pada bangunan Istana Kantor menurut kajian arsitektur?</t>
  </si>
  <si>
    <t xml:space="preserve">What architectural style does research identify in Istana Kantor's building?</t>
  </si>
  <si>
    <t xml:space="preserve">Murni gaya Melayu tradisional tanpa pengaruh luar</t>
  </si>
  <si>
    <t xml:space="preserve">Purely traditional Malay style with no outside influence</t>
  </si>
  <si>
    <t xml:space="preserve">Perpaduan pengaruh Eropa (kolonial) dengan Melayu</t>
  </si>
  <si>
    <t xml:space="preserve">A blend of European (colonial) influence with Malay style</t>
  </si>
  <si>
    <t xml:space="preserve">Gaya arsitektur Tiongkok klasik</t>
  </si>
  <si>
    <t xml:space="preserve">Classical Chinese architectural style</t>
  </si>
  <si>
    <t xml:space="preserve">Gaya arsitektur Timur Tengah murni</t>
  </si>
  <si>
    <t xml:space="preserve">Purely Middle Eastern architectural style</t>
  </si>
  <si>
    <t xml:space="preserve">Kajian arsitektur menyebut Istana Kantor sebagai akulturasi Melayu dengan pengaruh Eropa, Timur Tengah, dan India.</t>
  </si>
  <si>
    <t xml:space="preserve">Architectural studies describe Istana Kantor as a Malay acculturation with European, Middle Eastern, and Indian influences.</t>
  </si>
  <si>
    <t xml:space="preserve">Koreksi riset About Game (SIAR UMS 2022)</t>
  </si>
  <si>
    <t xml:space="preserve">M3-07</t>
  </si>
  <si>
    <t xml:space="preserve">Apa fungsi pintu gerbang yang mengarah ke kolam pemandian di Istana Kantor?</t>
  </si>
  <si>
    <t xml:space="preserve">What was the function of the gate leading to the bathing pool at Istana Kantor?</t>
  </si>
  <si>
    <t xml:space="preserve">Sebagai pintu darurat</t>
  </si>
  <si>
    <t xml:space="preserve">An emergency exit</t>
  </si>
  <si>
    <t xml:space="preserve">Sebagai jalan menuju tempat pemandian</t>
  </si>
  <si>
    <t xml:space="preserve">A path leading to the bathing area</t>
  </si>
  <si>
    <t xml:space="preserve">Sebagai gudang senjata</t>
  </si>
  <si>
    <t xml:space="preserve">A weapons storehouse</t>
  </si>
  <si>
    <t xml:space="preserve">Sebagai kandang kuda</t>
  </si>
  <si>
    <t xml:space="preserve">A horse stable</t>
  </si>
  <si>
    <t xml:space="preserve">Salah satu pintu gerbang istana berfungsi sebagai jalan menuju kolam pemandian di area istana.</t>
  </si>
  <si>
    <t xml:space="preserve">One of the palace gates served as the path to the bathing pool within the palace grounds.</t>
  </si>
  <si>
    <t xml:space="preserve">M3-08</t>
  </si>
  <si>
    <t xml:space="preserve">Karya sastra terkenal apa yang ditulis di lingkungan Istana Kantor oleh Raja Ali Haji?</t>
  </si>
  <si>
    <t xml:space="preserve">Which famous literary work did Raja Ali Haji write within the Istana Kantor grounds?</t>
  </si>
  <si>
    <t xml:space="preserve">Raja Ali Haji menulis Gurindam Dua Belas di lingkungan Istana Kantor, selesai pada 1847.</t>
  </si>
  <si>
    <t xml:space="preserve">Raja Ali Haji wrote Gurindam Dua Belas within the Istana Kantor grounds, completing it in 1847.</t>
  </si>
  <si>
    <t xml:space="preserve">Peluangnews.id 2024</t>
  </si>
  <si>
    <t xml:space="preserve">M3-09</t>
  </si>
  <si>
    <t xml:space="preserve">Apa yang terdapat di lantai pertama bangunan utama Istana Kantor?</t>
  </si>
  <si>
    <t xml:space="preserve">What is found on the first floor of Istana Kantor's main building?</t>
  </si>
  <si>
    <t xml:space="preserve">Perpustakaan dan ruang sholat</t>
  </si>
  <si>
    <t xml:space="preserve">A library and a prayer room</t>
  </si>
  <si>
    <t xml:space="preserve">Sumur dan kakus</t>
  </si>
  <si>
    <t xml:space="preserve">A well and a latrine</t>
  </si>
  <si>
    <t xml:space="preserve">Dapur dan lumbung</t>
  </si>
  <si>
    <t xml:space="preserve">A kitchen and a granary</t>
  </si>
  <si>
    <t xml:space="preserve">Kandang hewan</t>
  </si>
  <si>
    <t xml:space="preserve">An animal pen</t>
  </si>
  <si>
    <t xml:space="preserve">Pada lantai pertama bangunan, terdapat sumur di satu sisi dan kakus di sisi lainnya.</t>
  </si>
  <si>
    <t xml:space="preserve">On the first floor, there is a well on one side and a latrine on the other.</t>
  </si>
  <si>
    <t xml:space="preserve">Kemdikbud - budaya.data.kemdikbud.go.id</t>
  </si>
  <si>
    <t xml:space="preserve">M3-10</t>
  </si>
  <si>
    <t xml:space="preserve">Manakah pernyataan yang PALING tepat membedakan Raja Ali (pemilik Istana Kantor) dan Raja Ali Haji (penulis Gurindam 12)?</t>
  </si>
  <si>
    <t xml:space="preserve">Which statement BEST distinguishes Raja Ali (owner of Istana Kantor) from Raja Ali Haji (author of Gurindam 12)?</t>
  </si>
  <si>
    <t xml:space="preserve">Keduanya adalah orang yang sama</t>
  </si>
  <si>
    <t xml:space="preserve">They are the same person</t>
  </si>
  <si>
    <t xml:space="preserve">Raja Ali adalah Yang Dipertuan Muda VIII pemilik Istana Kantor, sedangkan Raja Ali Haji adalah pujangga yang menulis Gurindam 12 di lingkungan istana itu</t>
  </si>
  <si>
    <t xml:space="preserve">Raja Ali was the 8th Yang Dipertuan Muda who owned Istana Kantor, while Raja Ali Haji was the scholar who wrote Gurindam 12 within its grounds</t>
  </si>
  <si>
    <t xml:space="preserve">Raja Ali Haji adalah tabib kerajaan</t>
  </si>
  <si>
    <t xml:space="preserve">Raja Ali Haji was the kingdom's royal physician</t>
  </si>
  <si>
    <t xml:space="preserve">Raja Ali adalah pendiri Masjid Raya</t>
  </si>
  <si>
    <t xml:space="preserve">Raja Ali was the founder of Masjid Raya</t>
  </si>
  <si>
    <t xml:space="preserve">Meski namanya mirip, Raja Ali (YDM VIII, penguasa Istana Kantor) dan Raja Ali Haji (pujangga penulis Gurindam 12) adalah dua kerabat kerajaan yang berbeda.</t>
  </si>
  <si>
    <t xml:space="preserve">Despite similar names, Raja Ali (the 8th Yang Dipertuan Muda who ruled Istana Kantor) and Raja Ali Haji (the scholar who wrote Gurindam 12) were two different royal relatives.</t>
  </si>
  <si>
    <t xml:space="preserve">DisBud Kepri; Peluangnews.id 2024</t>
  </si>
  <si>
    <t xml:space="preserve">M3-11</t>
  </si>
  <si>
    <t xml:space="preserve">Manakah pernyataan yang SALAH tentang Istana Kantor?</t>
  </si>
  <si>
    <t xml:space="preserve">Which statement about Istana Kantor is INCORRECT?</t>
  </si>
  <si>
    <t xml:space="preserve">Merupakan kediaman dan kantor kerja Raja Ali YDM VIII</t>
  </si>
  <si>
    <t xml:space="preserve">It was the residence and office of Raja Ali, the 8th Yang Dipertuan Muda</t>
  </si>
  <si>
    <t xml:space="preserve">Dikelilingi tembok dengan tiga pintu masuk</t>
  </si>
  <si>
    <t xml:space="preserve">It is surrounded by a wall with three gates</t>
  </si>
  <si>
    <t xml:space="preserve">Beratap kubah emas bergaya Eropa mewah</t>
  </si>
  <si>
    <t xml:space="preserve">It has a luxurious European-style golden dome roof</t>
  </si>
  <si>
    <t xml:space="preserve">Bangunan utamanya berlantai dua</t>
  </si>
  <si>
    <t xml:space="preserve">Its main building has two storeys</t>
  </si>
  <si>
    <t xml:space="preserve">Istana Kantor tidak memiliki atap kubah emas; atapnya berbentuk limasan sederhana hasil pemugaran.</t>
  </si>
  <si>
    <t xml:space="preserve">Istana Kantor does not have a golden dome roof; its roof is a simple pyramidal (limasan) form from restoration work.</t>
  </si>
  <si>
    <t xml:space="preserve">M3-12</t>
  </si>
  <si>
    <t xml:space="preserve">Mengapa Istana Kantor penting dalam sejarah kesusastraan Melayu, selain sebagai pusat pemerintahan?</t>
  </si>
  <si>
    <t xml:space="preserve">Beyond being a seat of government, why is Istana Kantor important to Malay literary history?</t>
  </si>
  <si>
    <t xml:space="preserve">Karena menjadi tempat lahir Raja Ali Haji</t>
  </si>
  <si>
    <t xml:space="preserve">Because Raja Ali Haji was born there</t>
  </si>
  <si>
    <t xml:space="preserve">Karena di lingkungan istana inilah Gurindam Dua Belas ditulis dan diselesaikan</t>
  </si>
  <si>
    <t xml:space="preserve">Because Gurindam Dua Belas was written and completed within the palace grounds</t>
  </si>
  <si>
    <t xml:space="preserve">Karena menjadi tempat penyimpanan Al-Quran tertua</t>
  </si>
  <si>
    <t xml:space="preserve">Because it stored the oldest Quran manuscript</t>
  </si>
  <si>
    <t xml:space="preserve">Karena menjadi lokasi pembangunan pertama Masjid Raya</t>
  </si>
  <si>
    <t xml:space="preserve">Because it was where Masjid Raya was first built</t>
  </si>
  <si>
    <t xml:space="preserve">Di lingkungan Istana Kantor inilah Raja Ali Haji menuliskan Gurindam Dua Belas, karya berisi nasihat hidup, bersahabat, dan memerintah negeri.</t>
  </si>
  <si>
    <t xml:space="preserve">It was within the Istana Kantor grounds that Raja Ali Haji wrote Gurindam Dua Belas, a work of advice on life, friendship, and governance.</t>
  </si>
  <si>
    <t xml:space="preserve">M4-01</t>
  </si>
  <si>
    <t xml:space="preserve">Gedung Tabib</t>
  </si>
  <si>
    <t xml:space="preserve">Gedung Tabib dahulu merupakan kediaman seorang tokoh bernama...</t>
  </si>
  <si>
    <t xml:space="preserve">Gedung Tabib was once the residence of a figure named...</t>
  </si>
  <si>
    <t xml:space="preserve">Gedung Tabib adalah bekas kediaman Tabib Raja Daud, tabib tersohor pada masa Kerajaan Riau-Lingga.</t>
  </si>
  <si>
    <t xml:space="preserve">Gedung Tabib was once the residence of the royal physician Raja Daud, renowned during the Riau-Lingga Kingdom era.</t>
  </si>
  <si>
    <t xml:space="preserve">Goodnewsfromindonesia.id 2022; Kekunaan blog 2018</t>
  </si>
  <si>
    <t xml:space="preserve">M4-02</t>
  </si>
  <si>
    <t xml:space="preserve">Apa kondisi bangunan Gedung Tabib saat ini?</t>
  </si>
  <si>
    <t xml:space="preserve">What is the current condition of the Gedung Tabib building?</t>
  </si>
  <si>
    <t xml:space="preserve">Utuh dan masih beratap</t>
  </si>
  <si>
    <t xml:space="preserve">Intact and still roofed</t>
  </si>
  <si>
    <t xml:space="preserve">Tinggal kerangka dinding bata tanpa atap</t>
  </si>
  <si>
    <t xml:space="preserve">Only the brick wall frame remains, without a roof</t>
  </si>
  <si>
    <t xml:space="preserve">Sudah menjadi museum modern</t>
  </si>
  <si>
    <t xml:space="preserve">It has become a modern museum</t>
  </si>
  <si>
    <t xml:space="preserve">Sudah rata dengan tanah</t>
  </si>
  <si>
    <t xml:space="preserve">It has been razed to the ground</t>
  </si>
  <si>
    <t xml:space="preserve">Gedung Tabib kini hanya menyisakan susunan dinding bata tanpa atap, dengan pohon tumbuh merambat di sela-selanya.</t>
  </si>
  <si>
    <t xml:space="preserve">Gedung Tabib today is only a brick wall frame without a roof, with a tree growing through the gaps.</t>
  </si>
  <si>
    <t xml:space="preserve">Kekunaan blog 2018; National Geographic Indonesia</t>
  </si>
  <si>
    <t xml:space="preserve">M4-03</t>
  </si>
  <si>
    <t xml:space="preserve">Apa fungsi utama Gedung Tabib pada masa Kerajaan Riau-Lingga?</t>
  </si>
  <si>
    <t xml:space="preserve">What was the main function of Gedung Tabib during the Riau-Lingga Kingdom era?</t>
  </si>
  <si>
    <t xml:space="preserve">Tempat berobat dan meracik obat herbal</t>
  </si>
  <si>
    <t xml:space="preserve">A place for treatment and preparing herbal medicine</t>
  </si>
  <si>
    <t xml:space="preserve">Gudang senjata</t>
  </si>
  <si>
    <t xml:space="preserve">Tempat penyimpanan padi</t>
  </si>
  <si>
    <t xml:space="preserve">A rice storage building</t>
  </si>
  <si>
    <t xml:space="preserve">Balai pertemuan raja-raja</t>
  </si>
  <si>
    <t xml:space="preserve">A meeting hall for kings</t>
  </si>
  <si>
    <t xml:space="preserve">Gedung ini digunakan Tabib Raja Daud untuk mengobati pasien dan meracik obat dari bahan-bahan herbal.</t>
  </si>
  <si>
    <t xml:space="preserve">The building was used by the physician Raja Daud to treat patients and prepare medicine from herbal ingredients.</t>
  </si>
  <si>
    <t xml:space="preserve">Goodnewsfromindonesia.id 2022</t>
  </si>
  <si>
    <t xml:space="preserve">M4-04</t>
  </si>
  <si>
    <t xml:space="preserve">Benar atau Salah: Gedung Tabib pada masa kejayaannya memiliki dua tingkat lantai.</t>
  </si>
  <si>
    <t xml:space="preserve">True or False: at its peak, Gedung Tabib had two storeys.</t>
  </si>
  <si>
    <t xml:space="preserve">Gedung Tabib merupakan bangunan berlantai dua pada masa kejayaannya.</t>
  </si>
  <si>
    <t xml:space="preserve">Gedung Tabib was a two-storey building during its heyday.</t>
  </si>
  <si>
    <t xml:space="preserve">M4-05</t>
  </si>
  <si>
    <t xml:space="preserve">Apa yang kini tumbuh merambat di sela-sela dinding Gedung Tabib?</t>
  </si>
  <si>
    <t xml:space="preserve">What now grows through the gaps in Gedung Tabib's walls?</t>
  </si>
  <si>
    <t xml:space="preserve">Pohon</t>
  </si>
  <si>
    <t xml:space="preserve">A tree</t>
  </si>
  <si>
    <t xml:space="preserve">Bunga anggrek</t>
  </si>
  <si>
    <t xml:space="preserve">Orchid flowers</t>
  </si>
  <si>
    <t xml:space="preserve">Rumput laut</t>
  </si>
  <si>
    <t xml:space="preserve">Seaweed</t>
  </si>
  <si>
    <t xml:space="preserve">Lumut karang</t>
  </si>
  <si>
    <t xml:space="preserve">Coral moss</t>
  </si>
  <si>
    <t xml:space="preserve">Pohon tumbuh merambat di sela-sela dinding bata Gedung Tabib yang tersisa.</t>
  </si>
  <si>
    <t xml:space="preserve">A tree grows through the gaps of Gedung Tabib's remaining brick walls.</t>
  </si>
  <si>
    <t xml:space="preserve">National Geographic Indonesia; Gatra.com 2024</t>
  </si>
  <si>
    <t xml:space="preserve">M4-06</t>
  </si>
  <si>
    <t xml:space="preserve">Naskah apa yang menjadi keputusan resmi game ini sebagai karya Tabib Raja Daud?</t>
  </si>
  <si>
    <t xml:space="preserve">Which manuscript does this game officially credit to the physician Raja Daud?</t>
  </si>
  <si>
    <t xml:space="preserve">Naskah Ilmu Tabib</t>
  </si>
  <si>
    <t xml:space="preserve">The Ilmu Tabib manuscript</t>
  </si>
  <si>
    <t xml:space="preserve">Riset menemukan naskah Ilmu Tabib ditulis Raja Haji Daud, terpisah dari naskah Rumah Obat karya penulis lain.</t>
  </si>
  <si>
    <t xml:space="preserve">Research found the Ilmu Tabib manuscript was written by Raja Haji Daud, separate from the Rumah Obat manuscript by another author.</t>
  </si>
  <si>
    <t xml:space="preserve">Koreksi riset About Game (Jumantara 2020)</t>
  </si>
  <si>
    <t xml:space="preserve">M4-07</t>
  </si>
  <si>
    <t xml:space="preserve">Bahan apa yang biasa digunakan Tabib Raja Daud dalam meracik obat?</t>
  </si>
  <si>
    <t xml:space="preserve">What ingredients did the physician Raja Daud typically use to prepare medicine?</t>
  </si>
  <si>
    <t xml:space="preserve">Bahan kimia sintetis</t>
  </si>
  <si>
    <t xml:space="preserve">Synthetic chemicals</t>
  </si>
  <si>
    <t xml:space="preserve">Bahan-bahan herbal/tumbuhan</t>
  </si>
  <si>
    <t xml:space="preserve">Herbal/plant-based ingredients</t>
  </si>
  <si>
    <t xml:space="preserve">Logam mulia</t>
  </si>
  <si>
    <t xml:space="preserve">Precious metals</t>
  </si>
  <si>
    <t xml:space="preserve">Batu permata</t>
  </si>
  <si>
    <t xml:space="preserve">Gemstones</t>
  </si>
  <si>
    <t xml:space="preserve">Pengobatan Melayu di Gedung Tabib identik dengan penggunaan bahan-bahan herbal untuk meracik obat.</t>
  </si>
  <si>
    <t xml:space="preserve">Malay medicine at Gedung Tabib was characterised by the use of herbal ingredients to prepare remedies.</t>
  </si>
  <si>
    <t xml:space="preserve">M4-08</t>
  </si>
  <si>
    <t xml:space="preserve">Apa yang terjadi pada jabatan tabib kerajaan setelah Kesultanan Riau-Lingga runtuh?</t>
  </si>
  <si>
    <t xml:space="preserve">What happened to the royal physician's post after the Riau-Lingga Sultanate fell?</t>
  </si>
  <si>
    <t xml:space="preserve">Jabatan tersebut terus berlanjut hingga kini</t>
  </si>
  <si>
    <t xml:space="preserve">The post continued unchanged to this day</t>
  </si>
  <si>
    <t xml:space="preserve">Jabatan tabib diberhentikan oleh Belanda</t>
  </si>
  <si>
    <t xml:space="preserve">The physician's post was abolished by the Dutch</t>
  </si>
  <si>
    <t xml:space="preserve">Jabatan tersebut diwariskan ke Malaysia</t>
  </si>
  <si>
    <t xml:space="preserve">The post was inherited by Malaysia</t>
  </si>
  <si>
    <t xml:space="preserve">Jabatan tersebut dipindahkan ke Batam</t>
  </si>
  <si>
    <t xml:space="preserve">The post was moved to Batam</t>
  </si>
  <si>
    <t xml:space="preserve">Setelah kesultanan jatuh, jabatan tabib kerajaan diberhentikan oleh pemerintah kolonial Belanda.</t>
  </si>
  <si>
    <t xml:space="preserve">After the sultanate fell, the royal physician's post was abolished by the Dutch colonial government.</t>
  </si>
  <si>
    <t xml:space="preserve">Linasasmita.com 2019</t>
  </si>
  <si>
    <t xml:space="preserve">M4-09</t>
  </si>
  <si>
    <t xml:space="preserve">Mengapa Gedung Tabib menjadi lokasi populer untuk berfoto oleh wisatawan?</t>
  </si>
  <si>
    <t xml:space="preserve">Why has Gedung Tabib become a popular photo spot for tourists?</t>
  </si>
  <si>
    <t xml:space="preserve">Karena bangunannya baru dan modern</t>
  </si>
  <si>
    <t xml:space="preserve">Because the building is new and modern</t>
  </si>
  <si>
    <t xml:space="preserve">Karena tampilan kerangka bata merah dan pohon merambatnya unik dan estetik</t>
  </si>
  <si>
    <t xml:space="preserve">Because its red brick frame and climbing tree give it a unique, photogenic look</t>
  </si>
  <si>
    <t xml:space="preserve">Karena berada tepat di tepi pantai</t>
  </si>
  <si>
    <t xml:space="preserve">Because it sits right on the beach</t>
  </si>
  <si>
    <t xml:space="preserve">Karena berhiaskan lampu warna-warni</t>
  </si>
  <si>
    <t xml:space="preserve">Because it is decorated with colourful lights</t>
  </si>
  <si>
    <t xml:space="preserve">Susunan bata merah dan pohon yang merambat membuat Gedung Tabib populer sebagai spot foto (instagramable).</t>
  </si>
  <si>
    <t xml:space="preserve">The red brick structure and climbing tree make Gedung Tabib a popular ('instagrammable') photo spot.</t>
  </si>
  <si>
    <t xml:space="preserve">National Geographic Indonesia; Linasasmita.com 2019</t>
  </si>
  <si>
    <t xml:space="preserve">M4-10</t>
  </si>
  <si>
    <t xml:space="preserve">Manakah pernyataan yang SALAH tentang Gedung Tabib dalam game ini?</t>
  </si>
  <si>
    <t xml:space="preserve">Which statement about Gedung Tabib in this game is INCORRECT?</t>
  </si>
  <si>
    <t xml:space="preserve">Merupakan bekas kediaman Tabib Raja Daud</t>
  </si>
  <si>
    <t xml:space="preserve">It was the former residence of the physician Raja Daud</t>
  </si>
  <si>
    <t xml:space="preserve">Berfungsi sebagai tempat berobat dan meracik obat herbal</t>
  </si>
  <si>
    <t xml:space="preserve">It served as a place for treatment and preparing herbal medicine</t>
  </si>
  <si>
    <t xml:space="preserve">Silsilah lengkap Raja Daud dipastikan hingga Raja Haji Fisabilillah</t>
  </si>
  <si>
    <t xml:space="preserve">Raja Daud's full lineage back to Raja Haji Fisabilillah has been confirmed</t>
  </si>
  <si>
    <t xml:space="preserve">Kini tinggal dinding bata tanpa atap</t>
  </si>
  <si>
    <t xml:space="preserve">It now remains only as brick walls without a roof</t>
  </si>
  <si>
    <t xml:space="preserve">Riset menemukan silsilah lengkap Raja Daud belum bisa dipastikan, bahkan sumber lain mencampurnya dengan tokoh tabib lain, sehingga game ini hanya memakai nama 'Raja Daud' tanpa mengaitkan silsilah.</t>
  </si>
  <si>
    <t xml:space="preserve">Research found Raja Daud's full lineage cannot be confirmed, and some sources even conflate him with a different physician figure, so this game uses only the name 'Raja Daud' without claiming a lineage.</t>
  </si>
  <si>
    <t xml:space="preserve">Koreksi riset About Game (Disbudpar Tanjungpinang vs Kompas 2024)</t>
  </si>
  <si>
    <t xml:space="preserve">M4-11</t>
  </si>
  <si>
    <t xml:space="preserve">Tabib kerajaan lain yang namanya diabadikan sebagai nama RSUD Provinsi Kepri adalah cucu dari...</t>
  </si>
  <si>
    <t xml:space="preserve">Another royal physician whose name was used for the RSUD Kepri Province hospital was the grandson of...</t>
  </si>
  <si>
    <t xml:space="preserve">RSUD Provinsi Kepri dinamai dari Raja Ahmad Tabib, cucu Raja Ali Haji yang menjadi tabib kerajaan sejak 1901 — tokoh berbeda dari Tabib Raja Daud di Gedung Tabib.</t>
  </si>
  <si>
    <t xml:space="preserve">RSUD Kepri Province is named after Raja Ahmad Tabib, a grandson of Raja Ali Haji who became a royal physician from 1901 — a different figure from Raja Daud of Gedung Tabib.</t>
  </si>
  <si>
    <t xml:space="preserve">PPID Kepri (fakta tambahan About Game)</t>
  </si>
  <si>
    <t xml:space="preserve">M4-12</t>
  </si>
  <si>
    <t xml:space="preserve">Mengapa penting membedakan naskah 'Ilmu Tabib' dan naskah 'Rumah Obat' dalam riset situs ini?</t>
  </si>
  <si>
    <t xml:space="preserve">Why is it important to distinguish the 'Ilmu Tabib' manuscript from the 'Rumah Obat' manuscript in this site's research?</t>
  </si>
  <si>
    <t xml:space="preserve">Karena keduanya sebenarnya judul yang sama persis</t>
  </si>
  <si>
    <t xml:space="preserve">Because they are actually the exact same title</t>
  </si>
  <si>
    <t xml:space="preserve">Karena keduanya ditulis oleh dua orang berbeda meski sama-sama koleksi Yayasan Indrasakti</t>
  </si>
  <si>
    <t xml:space="preserve">Because they were written by two different authors, even though both are held by Yayasan Indrasakti</t>
  </si>
  <si>
    <t xml:space="preserve">Karena salah satunya adalah karya fiktif</t>
  </si>
  <si>
    <t xml:space="preserve">Because one of them is a fictional work</t>
  </si>
  <si>
    <t xml:space="preserve">Karena keduanya tidak berkaitan dengan pengobatan</t>
  </si>
  <si>
    <t xml:space="preserve">Because neither is related to medicine</t>
  </si>
  <si>
    <t xml:space="preserve">Naskah Ilmu Tabib ditulis Raja Haji Daud, sedangkan naskah Rumah Obat ditulis Ali Azimat; keduanya koleksi Yayasan Indrasakti namun karya penulis berbeda.</t>
  </si>
  <si>
    <t xml:space="preserve">The Ilmu Tabib manuscript was written by Raja Haji Daud, while the Rumah Obat manuscript was written by Ali Azimat; both are held by Yayasan Indrasakti but by different authors.</t>
  </si>
  <si>
    <t xml:space="preserve">M5-01</t>
  </si>
  <si>
    <t xml:space="preserve">Perigi Puteri</t>
  </si>
  <si>
    <t xml:space="preserve">Perigi Puteri merupakan bangunan yang menaungi...</t>
  </si>
  <si>
    <t xml:space="preserve">Perigi Puteri is a structure built over...</t>
  </si>
  <si>
    <t xml:space="preserve">Sebuah sumur tua</t>
  </si>
  <si>
    <t xml:space="preserve">An old well</t>
  </si>
  <si>
    <t xml:space="preserve">Sebuah makam raja</t>
  </si>
  <si>
    <t xml:space="preserve">A king's tomb</t>
  </si>
  <si>
    <t xml:space="preserve">Sebuah perpustakaan</t>
  </si>
  <si>
    <t xml:space="preserve">A library</t>
  </si>
  <si>
    <t xml:space="preserve">Sebuah dapur kerajaan</t>
  </si>
  <si>
    <t xml:space="preserve">A royal kitchen</t>
  </si>
  <si>
    <t xml:space="preserve">Perigi Puteri adalah bangunan pelindung sebuah sumur tua di Pulau Penyengat.</t>
  </si>
  <si>
    <t xml:space="preserve">Perigi Puteri is a structure built to protect an old well on Penyengat Island.</t>
  </si>
  <si>
    <t xml:space="preserve">Wikipedia ID - Perigi Putri</t>
  </si>
  <si>
    <t xml:space="preserve">M5-02</t>
  </si>
  <si>
    <t xml:space="preserve">Dahulu, Perigi Puteri digunakan sebagai tempat...</t>
  </si>
  <si>
    <t xml:space="preserve">In the past, Perigi Puteri was used as a place for...</t>
  </si>
  <si>
    <t xml:space="preserve">Pemandian dan mencuci untuk kaum wanita/putri kerajaan</t>
  </si>
  <si>
    <t xml:space="preserve">Bathing and washing for the kingdom's women/princesses</t>
  </si>
  <si>
    <t xml:space="preserve">Latihan berkuda</t>
  </si>
  <si>
    <t xml:space="preserve">Horse riding practice</t>
  </si>
  <si>
    <t xml:space="preserve">Menyimpan senjata</t>
  </si>
  <si>
    <t xml:space="preserve">Storing weapons</t>
  </si>
  <si>
    <t xml:space="preserve">Menjemur ikan</t>
  </si>
  <si>
    <t xml:space="preserve">Drying fish</t>
  </si>
  <si>
    <t xml:space="preserve">Bangunan ini berfungsi sebagai tempat mandi dan mencuci pakaian bagi para putri Kesultanan Riau-Lingga.</t>
  </si>
  <si>
    <t xml:space="preserve">The building functioned as a bathing and clothes-washing place for the princesses of the Riau-Lingga Sultanate.</t>
  </si>
  <si>
    <t xml:space="preserve">Sistem Registrasi Nasional Cagar Budaya - Perigi Putri</t>
  </si>
  <si>
    <t xml:space="preserve">M5-03</t>
  </si>
  <si>
    <t xml:space="preserve">Apa bentuk khas atap Perigi Puteri yang membuatnya unik di antara perigi lain di Penyengat?</t>
  </si>
  <si>
    <t xml:space="preserve">What distinctive roof shape makes Perigi Puteri unique among other wells on Penyengat?</t>
  </si>
  <si>
    <t xml:space="preserve">Atap kubah berbentuk setengah silinder</t>
  </si>
  <si>
    <t xml:space="preserve">A half-cylinder-shaped domed roof</t>
  </si>
  <si>
    <t xml:space="preserve">Atap genteng biasa</t>
  </si>
  <si>
    <t xml:space="preserve">An ordinary tiled roof</t>
  </si>
  <si>
    <t xml:space="preserve">Atap jerami</t>
  </si>
  <si>
    <t xml:space="preserve">A thatched roof</t>
  </si>
  <si>
    <t xml:space="preserve">Atap seng bergelombang</t>
  </si>
  <si>
    <t xml:space="preserve">A corrugated zinc roof</t>
  </si>
  <si>
    <t xml:space="preserve">Perigi Puteri satu-satunya perigi di Pulau Penyengat yang bangunannya memiliki kubah berbentuk setengah silinder.</t>
  </si>
  <si>
    <t xml:space="preserve">Perigi Puteri is the only well on Penyengat Island whose structure has a half-cylinder-shaped dome.</t>
  </si>
  <si>
    <t xml:space="preserve">Wikipedia ID - Perigi Putri; Registrasi Nasional Cagar Budaya</t>
  </si>
  <si>
    <t xml:space="preserve">M5-04</t>
  </si>
  <si>
    <t xml:space="preserve">Benar atau Salah: Perigi Puteri hanya memiliki satu pintu masuk.</t>
  </si>
  <si>
    <t xml:space="preserve">True or False: Perigi Puteri has only one entrance.</t>
  </si>
  <si>
    <t xml:space="preserve">Bangunan ini hanya mempunyai satu pintu masuk yang terletak di sisi utara.</t>
  </si>
  <si>
    <t xml:space="preserve">The building has only one entrance, located on the north side.</t>
  </si>
  <si>
    <t xml:space="preserve">Registrasi Nasional Cagar Budaya - Perigi Putri</t>
  </si>
  <si>
    <t xml:space="preserve">M5-05</t>
  </si>
  <si>
    <t xml:space="preserve">Tahun berapa Perigi Puteri pertama kali dipugar?</t>
  </si>
  <si>
    <t xml:space="preserve">In which year was Perigi Puteri first restored?</t>
  </si>
  <si>
    <t xml:space="preserve">1955</t>
  </si>
  <si>
    <t xml:space="preserve">1982</t>
  </si>
  <si>
    <t xml:space="preserve">2001</t>
  </si>
  <si>
    <t xml:space="preserve">2015</t>
  </si>
  <si>
    <t xml:space="preserve">Perigi Puteri pertama kali dipugar oleh Kanwil Departemen Pendidikan dan Kebudayaan Riau pada tahun 1982.</t>
  </si>
  <si>
    <t xml:space="preserve">Perigi Puteri was first restored by the Riau Provincial Office of the Ministry of Education and Culture in 1982.</t>
  </si>
  <si>
    <t xml:space="preserve">Wikipedia ID - Perigi Putri; P2K Stekom</t>
  </si>
  <si>
    <t xml:space="preserve">M5-06</t>
  </si>
  <si>
    <t xml:space="preserve">Mengapa bagian selatan atap Perigi Puteri sengaja dibiarkan terbuka tanpa penutup?</t>
  </si>
  <si>
    <t xml:space="preserve">Why is the southern part of Perigi Puteri's roof deliberately left open?</t>
  </si>
  <si>
    <t xml:space="preserve">Karena bagian itu tepat berada di atas sumur</t>
  </si>
  <si>
    <t xml:space="preserve">Because that part sits directly above the well</t>
  </si>
  <si>
    <t xml:space="preserve">Karena atapnya rusak dimakan usia</t>
  </si>
  <si>
    <t xml:space="preserve">Because the roof was damaged by age</t>
  </si>
  <si>
    <t xml:space="preserve">Karena dijadikan tempat menjemur pakaian</t>
  </si>
  <si>
    <t xml:space="preserve">Because it was used for drying clothes</t>
  </si>
  <si>
    <t xml:space="preserve">Karena belum sempat selesai dibangun</t>
  </si>
  <si>
    <t xml:space="preserve">Because construction was never finished</t>
  </si>
  <si>
    <t xml:space="preserve">Bagian atas terbuka di sisi selatan berada tepat di atas sumur, berbeda dari sisi lain bangunan yang tertutup rapat.</t>
  </si>
  <si>
    <t xml:space="preserve">The open section on the south side sits directly above the well, unlike the rest of the building which is fully enclosed.</t>
  </si>
  <si>
    <t xml:space="preserve">Registrasi Nasional Cagar Budaya - Perigi Putri; Melayupedia.com</t>
  </si>
  <si>
    <t xml:space="preserve">M5-07</t>
  </si>
  <si>
    <t xml:space="preserve">Mengapa Perigi Puteri diperkirakan dibangun setelah tahun 1803?</t>
  </si>
  <si>
    <t xml:space="preserve">Why is Perigi Puteri estimated to have been built after 1803?</t>
  </si>
  <si>
    <t xml:space="preserve">Karena itu tahun Pulau Penyengat mulai dihuni setelah pernikahan Sultan Mahmud dan Engku Putri</t>
  </si>
  <si>
    <t xml:space="preserve">Because that is when Penyengat Island began to be settled following Sultan Mahmud and Engku Putri's marriage</t>
  </si>
  <si>
    <t xml:space="preserve">Karena itu tahun kemerdekaan Indonesia</t>
  </si>
  <si>
    <t xml:space="preserve">Because that is Indonesia's independence year</t>
  </si>
  <si>
    <t xml:space="preserve">Karena itu tahun Belanda datang ke Riau</t>
  </si>
  <si>
    <t xml:space="preserve">Because that is when the Dutch arrived in Riau</t>
  </si>
  <si>
    <t xml:space="preserve">Karena itu tahun berdirinya Masjid Raya yang kedua</t>
  </si>
  <si>
    <t xml:space="preserve">Because that is when the second mosque was founded</t>
  </si>
  <si>
    <t xml:space="preserve">Perigi Puteri diperkirakan dibangun setelah Pulau Penyengat dijadikan tempat tinggal pasca pernikahan Sultan Mahmudsyah III dan Engku Putri.</t>
  </si>
  <si>
    <t xml:space="preserve">Perigi Puteri is estimated to have been built after Penyengat Island became a residence following Sultan Mahmudsyah III's marriage to Engku Putri.</t>
  </si>
  <si>
    <t xml:space="preserve">M5-08</t>
  </si>
  <si>
    <t xml:space="preserve">Apa yang membuat Perigi Puteri berbeda dari perigi-perigi lain sejenis di Pulau Penyengat?</t>
  </si>
  <si>
    <t xml:space="preserve">What makes Perigi Puteri different from other similar wells on Penyengat Island?</t>
  </si>
  <si>
    <t xml:space="preserve">Letaknya paling jauh dari masjid</t>
  </si>
  <si>
    <t xml:space="preserve">It is the farthest from the mosque</t>
  </si>
  <si>
    <t xml:space="preserve">Hanya Perigi Puteri yang bangunannya memiliki kubah</t>
  </si>
  <si>
    <t xml:space="preserve">Only Perigi Puteri's structure has a dome</t>
  </si>
  <si>
    <t xml:space="preserve">Hanya Perigi Puteri yang airnya asin</t>
  </si>
  <si>
    <t xml:space="preserve">Only Perigi Puteri has salty water</t>
  </si>
  <si>
    <t xml:space="preserve">Hanya Perigi Puteri yang berbentuk bundar</t>
  </si>
  <si>
    <t xml:space="preserve">Only Perigi Puteri is round-shaped</t>
  </si>
  <si>
    <t xml:space="preserve">Di Pulau Penyengat ada beberapa perigi sejenis, tetapi hanya Perigi Puteri yang bangunannya berkubah.</t>
  </si>
  <si>
    <t xml:space="preserve">There are several similar wells on Penyengat Island, but only Perigi Puteri's structure has a dome.</t>
  </si>
  <si>
    <t xml:space="preserve">M5-09</t>
  </si>
  <si>
    <t xml:space="preserve">Sampai sekarang, sumur di dalam Perigi Puteri masih...</t>
  </si>
  <si>
    <t xml:space="preserve">To this day, the well inside Perigi Puteri is still...</t>
  </si>
  <si>
    <t xml:space="preserve">Kering total dan tidak berfungsi</t>
  </si>
  <si>
    <t xml:space="preserve">Completely dry and unusable</t>
  </si>
  <si>
    <t xml:space="preserve">Dimanfaatkan oleh sebagian warga sekitar</t>
  </si>
  <si>
    <t xml:space="preserve">Used by some of the surrounding residents</t>
  </si>
  <si>
    <t xml:space="preserve">Ditutup permanen oleh pemerintah</t>
  </si>
  <si>
    <t xml:space="preserve">Permanently sealed by the government</t>
  </si>
  <si>
    <t xml:space="preserve">Dipindahkan ke museum</t>
  </si>
  <si>
    <t xml:space="preserve">Moved to a museum</t>
  </si>
  <si>
    <t xml:space="preserve">Sumur di dalam Perigi Puteri masih dimanfaatkan oleh sebagian warga sekitar hingga sekarang.</t>
  </si>
  <si>
    <t xml:space="preserve">The well inside Perigi Puteri is still used by some local residents today.</t>
  </si>
  <si>
    <t xml:space="preserve">Wikipedia ID - Perigi Putri; Sistem Registrasi Nasional Cagar Budaya</t>
  </si>
  <si>
    <t xml:space="preserve">M5-10</t>
  </si>
  <si>
    <t xml:space="preserve">Manakah pernyataan yang PALING tepat tentang kepercayaan bahwa air Perigi Puteri 'tidak pernah kering'?</t>
  </si>
  <si>
    <t xml:space="preserve">Which statement BEST describes the belief that Perigi Puteri's water 'never runs dry'?</t>
  </si>
  <si>
    <t xml:space="preserve">Itu adalah fakta yang telah dibuktikan secara ilmiah</t>
  </si>
  <si>
    <t xml:space="preserve">It is a fact that has been scientifically proven</t>
  </si>
  <si>
    <t xml:space="preserve">Itu adalah kepercayaan turun-temurun warga sekitar, bukan fakta yang tercatat resmi</t>
  </si>
  <si>
    <t xml:space="preserve">It is a belief passed down among local residents, not an officially recorded fact</t>
  </si>
  <si>
    <t xml:space="preserve">Itu tertulis sebagai prasasti resmi kerajaan</t>
  </si>
  <si>
    <t xml:space="preserve">It is written as an official royal inscription</t>
  </si>
  <si>
    <t xml:space="preserve">Itu dibuktikan lewat penelitian geologi modern</t>
  </si>
  <si>
    <t xml:space="preserve">It has been proven through modern geological research</t>
  </si>
  <si>
    <t xml:space="preserve">Riset menemukan bahwa klaim 'air tak pernah kering' adalah kepercayaan warga, sehingga dalam game ini ditulis sebagai kepercayaan, bukan fakta.</t>
  </si>
  <si>
    <t xml:space="preserve">Research found that the claim of water 'never running dry' is a local belief, so this game presents it as a belief rather than a fact.</t>
  </si>
  <si>
    <t xml:space="preserve">M5-11</t>
  </si>
  <si>
    <t xml:space="preserve">Manakah pernyataan yang SALAH tentang Perigi Puteri?</t>
  </si>
  <si>
    <t xml:space="preserve">Which statement about Perigi Puteri is INCORRECT?</t>
  </si>
  <si>
    <t xml:space="preserve">Bangunannya berdenah segi empat dengan kubah setengah silinder</t>
  </si>
  <si>
    <t xml:space="preserve">Its layout is square with a half-cylinder dome</t>
  </si>
  <si>
    <t xml:space="preserve">Digunakan sebagai tempat pemandian putri kerajaan</t>
  </si>
  <si>
    <t xml:space="preserve">It was used as a bathing place for royal princesses</t>
  </si>
  <si>
    <t xml:space="preserve">Memiliki banyak jendela besar untuk sirkulasi udara</t>
  </si>
  <si>
    <t xml:space="preserve">It has many large windows for air circulation</t>
  </si>
  <si>
    <t xml:space="preserve">Sumurnya masih dimanfaatkan sebagian warga hingga kini</t>
  </si>
  <si>
    <t xml:space="preserve">Its well is still used by some residents today</t>
  </si>
  <si>
    <t xml:space="preserve">Bangunan Perigi Puteri justru tidak memiliki jendela maupun lubang angin sama sekali.</t>
  </si>
  <si>
    <t xml:space="preserve">Perigi Puteri's structure actually has no windows or air vents at all.</t>
  </si>
  <si>
    <t xml:space="preserve">M5-12</t>
  </si>
  <si>
    <t xml:space="preserve">Selain sumur, fasilitas apa lagi di dalam Perigi Puteri yang digunakan untuk mencuci pakaian?</t>
  </si>
  <si>
    <t xml:space="preserve">Besides the well, what other feature inside Perigi Puteri was used for washing clothes?</t>
  </si>
  <si>
    <t xml:space="preserve">Tempat duduk panjang dari plesteran semen berukir</t>
  </si>
  <si>
    <t xml:space="preserve">A long carved cement-plastered bench</t>
  </si>
  <si>
    <t xml:space="preserve">Mesin cuci tradisional</t>
  </si>
  <si>
    <t xml:space="preserve">A traditional washing machine</t>
  </si>
  <si>
    <t xml:space="preserve">Kolam ikan</t>
  </si>
  <si>
    <t xml:space="preserve">A fish pond</t>
  </si>
  <si>
    <t xml:space="preserve">Rak penyimpanan kain</t>
  </si>
  <si>
    <t xml:space="preserve">A cloth storage rack</t>
  </si>
  <si>
    <t xml:space="preserve">Di dalam bangunan terdapat tempat duduk memanjang dari plesteran semen dengan ukiran di bagian pegangannya, digunakan untuk mencuci.</t>
  </si>
  <si>
    <t xml:space="preserve">Inside the building is a long cement-plastered bench with carved armrests, used for washing clothes.</t>
  </si>
  <si>
    <t xml:space="preserve">X-01</t>
  </si>
  <si>
    <t xml:space="preserve">Lintas Situs (Cadangan)</t>
  </si>
  <si>
    <t xml:space="preserve">Pulau Penyengat terletak berdekatan dengan kota mana di Kepulauan Riau?</t>
  </si>
  <si>
    <t xml:space="preserve">Which city in the Riau Islands is Penyengat Island located closest to?</t>
  </si>
  <si>
    <t xml:space="preserve">Tanjungpinang</t>
  </si>
  <si>
    <t xml:space="preserve">Batam</t>
  </si>
  <si>
    <t xml:space="preserve">Bintan</t>
  </si>
  <si>
    <t xml:space="preserve">Karimun</t>
  </si>
  <si>
    <t xml:space="preserve">Pulau Penyengat terletak sangat dekat dengan Kota Tanjungpinang, ibu kota Kepulauan Riau.</t>
  </si>
  <si>
    <t xml:space="preserve">Penyengat Island lies very close to Tanjungpinang City, the capital of the Riau Islands.</t>
  </si>
  <si>
    <t xml:space="preserve">Wikipedia EN - Penyengat Island</t>
  </si>
  <si>
    <t xml:space="preserve">X-02</t>
  </si>
  <si>
    <t xml:space="preserve">Karya sastra terkenal Gurindam Dua Belas ditulis oleh...</t>
  </si>
  <si>
    <t xml:space="preserve">The famous literary work Gurindam Dua Belas was written by...</t>
  </si>
  <si>
    <t xml:space="preserve">Gurindam Dua Belas adalah karya Raja Ali Haji, sastrawan dan Pahlawan Nasional dari Pulau Penyengat.</t>
  </si>
  <si>
    <t xml:space="preserve">Gurindam Dua Belas is the work of Raja Ali Haji, a scholar and National Hero from Penyengat Island.</t>
  </si>
  <si>
    <t xml:space="preserve">Tirto.id 2022; GNFI 2022</t>
  </si>
  <si>
    <t xml:space="preserve">X-03</t>
  </si>
  <si>
    <t xml:space="preserve">Tahun berapa Raja Ali Haji menyelesaikan penulisan Gurindam Dua Belas?</t>
  </si>
  <si>
    <t xml:space="preserve">In which year did Raja Ali Haji complete writing Gurindam Dua Belas?</t>
  </si>
  <si>
    <t xml:space="preserve">1803</t>
  </si>
  <si>
    <t xml:space="preserve">1832</t>
  </si>
  <si>
    <t xml:space="preserve">1847</t>
  </si>
  <si>
    <t xml:space="preserve">1858</t>
  </si>
  <si>
    <t xml:space="preserve">Raja Ali Haji menyelesaikan Gurindam Dua Belas di Pulau Penyengat pada tahun 1847.</t>
  </si>
  <si>
    <t xml:space="preserve">Raja Ali Haji completed Gurindam Dua Belas on Penyengat Island in 1847.</t>
  </si>
  <si>
    <t xml:space="preserve">Suarasurabaya.net 2026; Peluangnews.id 2024</t>
  </si>
  <si>
    <t xml:space="preserve">X-04</t>
  </si>
  <si>
    <t xml:space="preserve">Melalui Keputusan Presiden nomor berapa Raja Ali Haji dianugerahi gelar Pahlawan Nasional?</t>
  </si>
  <si>
    <t xml:space="preserve">Under which Presidential Decree was Raja Ali Haji granted the title of National Hero?</t>
  </si>
  <si>
    <t xml:space="preserve">Keppres 089/TK/2004</t>
  </si>
  <si>
    <t xml:space="preserve">Presidential Decree 089/TK/2004</t>
  </si>
  <si>
    <t xml:space="preserve">Keppres 050/TK/1990</t>
  </si>
  <si>
    <t xml:space="preserve">Presidential Decree 050/TK/1990</t>
  </si>
  <si>
    <t xml:space="preserve">Keppres 012/TK/2010</t>
  </si>
  <si>
    <t xml:space="preserve">Presidential Decree 012/TK/2010</t>
  </si>
  <si>
    <t xml:space="preserve">Keppres 075/TK/1999</t>
  </si>
  <si>
    <t xml:space="preserve">Presidential Decree 075/TK/1999</t>
  </si>
  <si>
    <t xml:space="preserve">Raja Ali Haji dianugerahi gelar Pahlawan Nasional melalui Keputusan Presiden Nomor 089/TK/2004.</t>
  </si>
  <si>
    <t xml:space="preserve">Raja Ali Haji was granted the title of National Hero through Presidential Decree No. 089/TK/2004.</t>
  </si>
  <si>
    <t xml:space="preserve">GNFI 2022 (fakta tambahan About Game)</t>
  </si>
  <si>
    <t xml:space="preserve">X-05</t>
  </si>
  <si>
    <t xml:space="preserve">Karya apa yang ditulis Raja Ali Haji pada 1858 dan menjadi pelopor kamus ekabahasa Melayu?</t>
  </si>
  <si>
    <t xml:space="preserve">Which work did Raja Ali Haji write in 1858 that pioneered the monolingual Malay dictionary?</t>
  </si>
  <si>
    <t xml:space="preserve">Ilmu Tabib</t>
  </si>
  <si>
    <t xml:space="preserve">Pada 1858, Raja Ali Haji menulis Kitab Pengetahuan Bahasa, dianggap pelopor kamus satu bahasa (ekabahasa) Melayu.</t>
  </si>
  <si>
    <t xml:space="preserve">In 1858, Raja Ali Haji wrote Kitab Pengetahuan Bahasa, regarded as the pioneering monolingual Malay dictionary.</t>
  </si>
  <si>
    <t xml:space="preserve">GNFI 2022 (fakta tambahan About Game); Tirto.id 2022</t>
  </si>
  <si>
    <t xml:space="preserve">X-06</t>
  </si>
  <si>
    <t xml:space="preserve">Nilai apa yang PALING sesuai dicontohkan dari pesan Gurindam Dua Belas untuk sikap sehari-hari?</t>
  </si>
  <si>
    <t xml:space="preserve">Which value BEST reflects the message of Gurindam Dua Belas for everyday attitudes?</t>
  </si>
  <si>
    <t xml:space="preserve">Mengutamakan kekayaan di atas segalanya</t>
  </si>
  <si>
    <t xml:space="preserve">Prioritising wealth above all else</t>
  </si>
  <si>
    <t xml:space="preserve">Nasihat menjaga akhlak, ibadah, dan hubungan baik antar sesama</t>
  </si>
  <si>
    <t xml:space="preserve">Advice to maintain good character, worship, and good relations with others</t>
  </si>
  <si>
    <t xml:space="preserve">Anjuran untuk bermusuhan dengan tetangga</t>
  </si>
  <si>
    <t xml:space="preserve">Encouragement to be hostile to neighbours</t>
  </si>
  <si>
    <t xml:space="preserve">Anjuran mengabaikan nasihat orang tua</t>
  </si>
  <si>
    <t xml:space="preserve">Encouragement to ignore parents' advice</t>
  </si>
  <si>
    <t xml:space="preserve">Gurindam Dua Belas berisi nasihat tentang ibadah, akhlak, kewajiban terhadap orang tua, dan hidup bermasyarakat yang baik.</t>
  </si>
  <si>
    <t xml:space="preserve">Gurindam Dua Belas contains advice on worship, character, duties to parents, and good communal living.</t>
  </si>
  <si>
    <t xml:space="preserve">Suarasurabaya.net 2026; Ejurnalqarnain 2024</t>
  </si>
  <si>
    <t xml:space="preserve">Ringkasan Distribusi Bank Soal</t>
  </si>
  <si>
    <t xml:space="preserve">Semua angka di bawah dihitung otomatis dari sheet 'Bank Soal' (COUNTIFS) — akan ikut berubah bila baris soal ditambah/diedit.</t>
  </si>
  <si>
    <t xml:space="preserve">Situs</t>
  </si>
  <si>
    <t xml:space="preserve">Total</t>
  </si>
  <si>
    <t xml:space="preserve">TOTAL</t>
  </si>
  <si>
    <t xml:space="preserve">Target menurut About Game: 60 soal situs (12/situs) + 6 soal cadangan lintas situs = 66 total.</t>
  </si>
  <si>
    <t xml:space="preserve">Jumlah butir dengan status_validasi masih 'Draf - perlu validasi':</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</si>
</sst>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3A2412"/>
      <name val="Arial"/>
      <family val="0"/>
      <charset val="1"/>
    </font>
    <font>
      <i val="true"/>
      <sz val="10"/>
      <color rgb="FF5A5A5A"/>
      <name val="Arial"/>
      <family val="0"/>
      <charset val="1"/>
    </font>
    <font>
      <b val="true"/>
      <sz val="10"/>
      <name val="Arial"/>
      <family val="0"/>
      <charset val="1"/>
    </font>
    <font>
      <sz val="10"/>
      <name val="Arial"/>
      <family val="0"/>
      <charset val="1"/>
    </font>
    <font>
      <b val="true"/>
      <sz val="11"/>
      <color rgb="FFFFFFFF"/>
      <name val="Arial"/>
      <family val="0"/>
      <charset val="1"/>
    </font>
  </fonts>
  <fills count="4">
    <fill>
      <patternFill patternType="none"/>
    </fill>
    <fill>
      <patternFill patternType="gray125"/>
    </fill>
    <fill>
      <patternFill patternType="solid">
        <fgColor rgb="FF8B5A2B"/>
        <bgColor rgb="FF5A5A5A"/>
      </patternFill>
    </fill>
    <fill>
      <patternFill patternType="solid">
        <fgColor rgb="FFFFF3CD"/>
        <bgColor rgb="FFFFFFFF"/>
      </patternFill>
    </fill>
  </fills>
  <borders count="2">
    <border diagonalUp="false" diagonalDown="false">
      <left/>
      <right/>
      <top/>
      <bottom/>
      <diagonal/>
    </border>
    <border diagonalUp="false" diagonalDown="false">
      <left style="thin">
        <color rgb="FFD9D2C4"/>
      </left>
      <right style="thin">
        <color rgb="FFD9D2C4"/>
      </right>
      <top style="thin">
        <color rgb="FFD9D2C4"/>
      </top>
      <bottom style="thin">
        <color rgb="FFD9D2C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8B5A2B"/>
          <bgColor rgb="FF000000"/>
        </patternFill>
      </fill>
    </dxf>
    <dxf>
      <fill>
        <patternFill patternType="solid">
          <bgColor rgb="FF000000"/>
        </patternFill>
      </fill>
    </dxf>
    <dxf>
      <fill>
        <patternFill patternType="solid">
          <fgColor rgb="FFFFFFFF"/>
          <bgColor rgb="FF000000"/>
        </patternFill>
      </fill>
    </dxf>
    <dxf>
      <fill>
        <patternFill patternType="solid">
          <fgColor rgb="FFFFF3C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B5A2B"/>
      <rgbColor rgb="FF800080"/>
      <rgbColor rgb="FF008080"/>
      <rgbColor rgb="FFD9D2C4"/>
      <rgbColor rgb="FF808080"/>
      <rgbColor rgb="FF9999FF"/>
      <rgbColor rgb="FF993366"/>
      <rgbColor rgb="FFFFF3C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A5A5A"/>
      <rgbColor rgb="FF969696"/>
      <rgbColor rgb="FF003366"/>
      <rgbColor rgb="FF339966"/>
      <rgbColor rgb="FF003300"/>
      <rgbColor rgb="FF3A2412"/>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35.05" hidden="false" customHeight="false" outlineLevel="0" collapsed="false">
      <c r="A5" s="4" t="s">
        <v>3</v>
      </c>
    </row>
    <row r="7" customFormat="false" ht="15" hidden="false" customHeight="false" outlineLevel="0" collapsed="false">
      <c r="A7" s="3" t="s">
        <v>4</v>
      </c>
    </row>
    <row r="8" customFormat="false" ht="57.45" hidden="false" customHeight="false" outlineLevel="0" collapsed="false">
      <c r="A8" s="4" t="s">
        <v>5</v>
      </c>
    </row>
    <row r="10" customFormat="false" ht="15" hidden="false" customHeight="false" outlineLevel="0" collapsed="false">
      <c r="A10" s="3" t="s">
        <v>6</v>
      </c>
    </row>
    <row r="11" customFormat="false" ht="46.25" hidden="false" customHeight="false" outlineLevel="0" collapsed="false">
      <c r="A11" s="4" t="s">
        <v>7</v>
      </c>
    </row>
    <row r="13" customFormat="false" ht="15" hidden="false" customHeight="false" outlineLevel="0" collapsed="false">
      <c r="A13" s="3" t="s">
        <v>8</v>
      </c>
    </row>
    <row r="14" customFormat="false" ht="15" hidden="false" customHeight="false" outlineLevel="0" collapsed="false">
      <c r="A14" s="4" t="s">
        <v>9</v>
      </c>
    </row>
    <row r="15" customFormat="false" ht="23.85" hidden="false" customHeight="false" outlineLevel="0" collapsed="false">
      <c r="A15" s="4" t="s">
        <v>10</v>
      </c>
    </row>
    <row r="16" customFormat="false" ht="15" hidden="false" customHeight="false" outlineLevel="0" collapsed="false">
      <c r="A16" s="4" t="s">
        <v>11</v>
      </c>
    </row>
    <row r="17" customFormat="false" ht="15" hidden="false" customHeight="false" outlineLevel="0" collapsed="false">
      <c r="A17" s="4" t="s">
        <v>12</v>
      </c>
    </row>
    <row r="18" customFormat="false" ht="23.85" hidden="false" customHeight="false" outlineLevel="0" collapsed="false">
      <c r="A18" s="4" t="s">
        <v>13</v>
      </c>
    </row>
    <row r="19" customFormat="false" ht="15" hidden="false" customHeight="false" outlineLevel="0" collapsed="false">
      <c r="A19" s="4" t="s">
        <v>14</v>
      </c>
    </row>
    <row r="20" customFormat="false" ht="15" hidden="false" customHeight="false" outlineLevel="0" collapsed="false">
      <c r="A20" s="4" t="s">
        <v>15</v>
      </c>
    </row>
    <row r="21" customFormat="false" ht="23.85" hidden="false" customHeight="false" outlineLevel="0" collapsed="false">
      <c r="A21" s="4" t="s">
        <v>16</v>
      </c>
    </row>
    <row r="22" customFormat="false" ht="15" hidden="false" customHeight="false" outlineLevel="0" collapsed="false">
      <c r="A22" s="4" t="s">
        <v>17</v>
      </c>
    </row>
    <row r="23" customFormat="false" ht="23.85" hidden="false" customHeight="false" outlineLevel="0" collapsed="false">
      <c r="A23" s="4" t="s">
        <v>18</v>
      </c>
    </row>
    <row r="24" customFormat="false" ht="15" hidden="false" customHeight="false" outlineLevel="0" collapsed="false">
      <c r="A24" s="4" t="s">
        <v>19</v>
      </c>
    </row>
    <row r="25" customFormat="false" ht="23.85" hidden="false" customHeight="false" outlineLevel="0" collapsed="false">
      <c r="A25" s="4" t="s">
        <v>20</v>
      </c>
    </row>
    <row r="27" customFormat="false" ht="15" hidden="false" customHeight="false" outlineLevel="0" collapsed="false">
      <c r="A27" s="3" t="s">
        <v>21</v>
      </c>
    </row>
    <row r="28" customFormat="false" ht="57.45" hidden="false" customHeight="false" outlineLevel="0" collapsed="false">
      <c r="A28" s="4" t="s">
        <v>22</v>
      </c>
    </row>
    <row r="30" customFormat="false" ht="15" hidden="false" customHeight="false" outlineLevel="0" collapsed="false">
      <c r="A30" s="3" t="s">
        <v>23</v>
      </c>
    </row>
    <row r="31" customFormat="false" ht="23.85" hidden="false" customHeight="false" outlineLevel="0" collapsed="false">
      <c r="A31" s="4" t="s">
        <v>24</v>
      </c>
    </row>
    <row r="32" customFormat="false" ht="23.85" hidden="false" customHeight="false" outlineLevel="0" collapsed="false">
      <c r="A32" s="4" t="s">
        <v>25</v>
      </c>
    </row>
    <row r="33" customFormat="false" ht="23.85" hidden="false" customHeight="false" outlineLevel="0" collapsed="false">
      <c r="A33" s="4" t="s">
        <v>26</v>
      </c>
    </row>
    <row r="34" customFormat="false" ht="23.85" hidden="false" customHeight="false" outlineLevel="0" collapsed="false">
      <c r="A34" s="4" t="s">
        <v>27</v>
      </c>
    </row>
    <row r="36" customFormat="false" ht="15" hidden="false" customHeight="false" outlineLevel="0" collapsed="false">
      <c r="A36" s="3" t="s">
        <v>28</v>
      </c>
    </row>
    <row r="37" customFormat="false" ht="23.85" hidden="false" customHeight="false" outlineLevel="0" collapsed="false">
      <c r="A37" s="4" t="s">
        <v>29</v>
      </c>
    </row>
    <row r="38" customFormat="false" ht="35.05" hidden="false" customHeight="false" outlineLevel="0" collapsed="false">
      <c r="A38" s="4" t="s">
        <v>30</v>
      </c>
    </row>
    <row r="39" customFormat="false" ht="23.85" hidden="false" customHeight="false" outlineLevel="0" collapsed="false">
      <c r="A39" s="4" t="s">
        <v>31</v>
      </c>
    </row>
    <row r="40" customFormat="false" ht="23.85" hidden="false" customHeight="false" outlineLevel="0" collapsed="false">
      <c r="A40" s="4" t="s">
        <v>32</v>
      </c>
    </row>
    <row r="42" customFormat="false" ht="15" hidden="false" customHeight="false" outlineLevel="0" collapsed="false">
      <c r="A42" s="3" t="s">
        <v>33</v>
      </c>
    </row>
    <row r="43" customFormat="false" ht="15" hidden="false" customHeight="false" outlineLevel="0" collapsed="false">
      <c r="A43" s="4" t="s">
        <v>34</v>
      </c>
    </row>
    <row r="44" customFormat="false" ht="23.85" hidden="false" customHeight="false" outlineLevel="0" collapsed="false">
      <c r="A44" s="4"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6"/>
    <col collapsed="false" customWidth="true" hidden="false" outlineLevel="0" max="3" min="3" style="0" width="22"/>
    <col collapsed="false" customWidth="true" hidden="false" outlineLevel="0" max="4" min="4" style="0" width="7"/>
    <col collapsed="false" customWidth="true" hidden="false" outlineLevel="0" max="5" min="5" style="0" width="9"/>
    <col collapsed="false" customWidth="true" hidden="false" outlineLevel="0" max="6" min="6" style="0" width="6"/>
    <col collapsed="false" customWidth="true" hidden="false" outlineLevel="0" max="8" min="7" style="0" width="9"/>
    <col collapsed="false" customWidth="true" hidden="false" outlineLevel="0" max="10" min="9" style="0" width="38"/>
    <col collapsed="false" customWidth="true" hidden="false" outlineLevel="0" max="18" min="11" style="0" width="22"/>
    <col collapsed="false" customWidth="true" hidden="false" outlineLevel="0" max="19" min="19" style="0" width="10"/>
    <col collapsed="false" customWidth="true" hidden="false" outlineLevel="0" max="21" min="20" style="0" width="34"/>
    <col collapsed="false" customWidth="true" hidden="false" outlineLevel="0" max="22" min="22" style="0" width="26"/>
    <col collapsed="false" customWidth="true" hidden="false" outlineLevel="0" max="23" min="23" style="0" width="18"/>
    <col collapsed="false" customWidth="true" hidden="false" outlineLevel="0" max="24" min="24" style="0" width="8"/>
  </cols>
  <sheetData>
    <row r="1" customFormat="false" ht="30" hidden="false" customHeight="true" outlineLevel="0" collapsed="false">
      <c r="A1" s="5" t="s">
        <v>36</v>
      </c>
      <c r="B1" s="5" t="s">
        <v>37</v>
      </c>
      <c r="C1" s="5" t="s">
        <v>38</v>
      </c>
      <c r="D1" s="5" t="s">
        <v>39</v>
      </c>
      <c r="E1" s="5" t="s">
        <v>40</v>
      </c>
      <c r="F1" s="5" t="s">
        <v>41</v>
      </c>
      <c r="G1" s="5" t="s">
        <v>42</v>
      </c>
      <c r="H1" s="5" t="s">
        <v>43</v>
      </c>
      <c r="I1" s="5" t="s">
        <v>44</v>
      </c>
      <c r="J1" s="5" t="s">
        <v>45</v>
      </c>
      <c r="K1" s="5" t="s">
        <v>46</v>
      </c>
      <c r="L1" s="5" t="s">
        <v>47</v>
      </c>
      <c r="M1" s="5" t="s">
        <v>48</v>
      </c>
      <c r="N1" s="5" t="s">
        <v>49</v>
      </c>
      <c r="O1" s="5" t="s">
        <v>50</v>
      </c>
      <c r="P1" s="5" t="s">
        <v>51</v>
      </c>
      <c r="Q1" s="5" t="s">
        <v>52</v>
      </c>
      <c r="R1" s="5" t="s">
        <v>53</v>
      </c>
      <c r="S1" s="5" t="s">
        <v>54</v>
      </c>
      <c r="T1" s="5" t="s">
        <v>55</v>
      </c>
      <c r="U1" s="5" t="s">
        <v>56</v>
      </c>
      <c r="V1" s="5" t="s">
        <v>57</v>
      </c>
      <c r="W1" s="5" t="s">
        <v>58</v>
      </c>
      <c r="X1" s="5" t="s">
        <v>59</v>
      </c>
    </row>
    <row r="2" customFormat="false" ht="23.85" hidden="false" customHeight="false" outlineLevel="0" collapsed="false">
      <c r="A2" s="6" t="s">
        <v>60</v>
      </c>
      <c r="B2" s="7" t="n">
        <v>1</v>
      </c>
      <c r="C2" s="6" t="s">
        <v>61</v>
      </c>
      <c r="D2" s="7" t="n">
        <v>1</v>
      </c>
      <c r="E2" s="6" t="s">
        <v>62</v>
      </c>
      <c r="F2" s="6" t="s">
        <v>63</v>
      </c>
      <c r="G2" s="7" t="n">
        <v>15</v>
      </c>
      <c r="H2" s="7" t="n">
        <v>500</v>
      </c>
      <c r="I2" s="6" t="s">
        <v>64</v>
      </c>
      <c r="J2" s="6" t="s">
        <v>65</v>
      </c>
      <c r="K2" s="6" t="s">
        <v>66</v>
      </c>
      <c r="L2" s="6" t="s">
        <v>66</v>
      </c>
      <c r="M2" s="6" t="s">
        <v>67</v>
      </c>
      <c r="N2" s="6" t="s">
        <v>67</v>
      </c>
      <c r="O2" s="6" t="s">
        <v>68</v>
      </c>
      <c r="P2" s="6" t="s">
        <v>68</v>
      </c>
      <c r="Q2" s="6" t="s">
        <v>69</v>
      </c>
      <c r="R2" s="6" t="s">
        <v>69</v>
      </c>
      <c r="S2" s="8" t="s">
        <v>70</v>
      </c>
      <c r="T2" s="6" t="s">
        <v>71</v>
      </c>
      <c r="U2" s="6" t="s">
        <v>72</v>
      </c>
      <c r="V2" s="6" t="s">
        <v>73</v>
      </c>
      <c r="W2" s="9" t="s">
        <v>74</v>
      </c>
      <c r="X2" s="6" t="s">
        <v>75</v>
      </c>
    </row>
    <row r="3" customFormat="false" ht="35.05" hidden="false" customHeight="false" outlineLevel="0" collapsed="false">
      <c r="A3" s="6" t="s">
        <v>76</v>
      </c>
      <c r="B3" s="7" t="n">
        <v>1</v>
      </c>
      <c r="C3" s="6" t="s">
        <v>61</v>
      </c>
      <c r="D3" s="7" t="n">
        <v>1</v>
      </c>
      <c r="E3" s="6" t="s">
        <v>62</v>
      </c>
      <c r="F3" s="6" t="s">
        <v>63</v>
      </c>
      <c r="G3" s="7" t="n">
        <v>15</v>
      </c>
      <c r="H3" s="7" t="n">
        <v>500</v>
      </c>
      <c r="I3" s="6" t="s">
        <v>77</v>
      </c>
      <c r="J3" s="6" t="s">
        <v>78</v>
      </c>
      <c r="K3" s="6" t="s">
        <v>79</v>
      </c>
      <c r="L3" s="6" t="s">
        <v>79</v>
      </c>
      <c r="M3" s="6" t="s">
        <v>80</v>
      </c>
      <c r="N3" s="6" t="s">
        <v>80</v>
      </c>
      <c r="O3" s="6" t="s">
        <v>81</v>
      </c>
      <c r="P3" s="6" t="s">
        <v>81</v>
      </c>
      <c r="Q3" s="6" t="s">
        <v>82</v>
      </c>
      <c r="R3" s="6" t="s">
        <v>82</v>
      </c>
      <c r="S3" s="8" t="s">
        <v>70</v>
      </c>
      <c r="T3" s="6" t="s">
        <v>83</v>
      </c>
      <c r="U3" s="6" t="s">
        <v>84</v>
      </c>
      <c r="V3" s="6" t="s">
        <v>85</v>
      </c>
      <c r="W3" s="9" t="s">
        <v>74</v>
      </c>
      <c r="X3" s="6" t="s">
        <v>75</v>
      </c>
    </row>
    <row r="4" customFormat="false" ht="35.05" hidden="false" customHeight="false" outlineLevel="0" collapsed="false">
      <c r="A4" s="6" t="s">
        <v>86</v>
      </c>
      <c r="B4" s="7" t="n">
        <v>1</v>
      </c>
      <c r="C4" s="6" t="s">
        <v>61</v>
      </c>
      <c r="D4" s="7" t="n">
        <v>1</v>
      </c>
      <c r="E4" s="6" t="s">
        <v>62</v>
      </c>
      <c r="F4" s="6" t="s">
        <v>87</v>
      </c>
      <c r="G4" s="7" t="n">
        <v>15</v>
      </c>
      <c r="H4" s="7" t="n">
        <v>500</v>
      </c>
      <c r="I4" s="6" t="s">
        <v>88</v>
      </c>
      <c r="J4" s="6" t="s">
        <v>89</v>
      </c>
      <c r="K4" s="6" t="s">
        <v>90</v>
      </c>
      <c r="L4" s="6" t="s">
        <v>91</v>
      </c>
      <c r="M4" s="6" t="s">
        <v>92</v>
      </c>
      <c r="N4" s="6" t="s">
        <v>93</v>
      </c>
      <c r="O4" s="6"/>
      <c r="P4" s="6"/>
      <c r="Q4" s="6"/>
      <c r="R4" s="6"/>
      <c r="S4" s="8" t="s">
        <v>94</v>
      </c>
      <c r="T4" s="6" t="s">
        <v>95</v>
      </c>
      <c r="U4" s="6" t="s">
        <v>96</v>
      </c>
      <c r="V4" s="6" t="s">
        <v>97</v>
      </c>
      <c r="W4" s="9" t="s">
        <v>74</v>
      </c>
      <c r="X4" s="6" t="s">
        <v>75</v>
      </c>
    </row>
    <row r="5" customFormat="false" ht="35.05" hidden="false" customHeight="false" outlineLevel="0" collapsed="false">
      <c r="A5" s="6" t="s">
        <v>98</v>
      </c>
      <c r="B5" s="7" t="n">
        <v>1</v>
      </c>
      <c r="C5" s="6" t="s">
        <v>61</v>
      </c>
      <c r="D5" s="7" t="n">
        <v>1</v>
      </c>
      <c r="E5" s="6" t="s">
        <v>62</v>
      </c>
      <c r="F5" s="6" t="s">
        <v>63</v>
      </c>
      <c r="G5" s="7" t="n">
        <v>15</v>
      </c>
      <c r="H5" s="7" t="n">
        <v>500</v>
      </c>
      <c r="I5" s="6" t="s">
        <v>99</v>
      </c>
      <c r="J5" s="6" t="s">
        <v>100</v>
      </c>
      <c r="K5" s="6" t="s">
        <v>101</v>
      </c>
      <c r="L5" s="6" t="s">
        <v>102</v>
      </c>
      <c r="M5" s="6" t="s">
        <v>103</v>
      </c>
      <c r="N5" s="6" t="s">
        <v>104</v>
      </c>
      <c r="O5" s="6" t="s">
        <v>105</v>
      </c>
      <c r="P5" s="6" t="s">
        <v>106</v>
      </c>
      <c r="Q5" s="6" t="s">
        <v>107</v>
      </c>
      <c r="R5" s="6" t="s">
        <v>108</v>
      </c>
      <c r="S5" s="8" t="s">
        <v>94</v>
      </c>
      <c r="T5" s="6" t="s">
        <v>109</v>
      </c>
      <c r="U5" s="6" t="s">
        <v>110</v>
      </c>
      <c r="V5" s="6" t="s">
        <v>111</v>
      </c>
      <c r="W5" s="9" t="s">
        <v>74</v>
      </c>
      <c r="X5" s="6" t="s">
        <v>75</v>
      </c>
    </row>
    <row r="6" customFormat="false" ht="35.05" hidden="false" customHeight="false" outlineLevel="0" collapsed="false">
      <c r="A6" s="6" t="s">
        <v>112</v>
      </c>
      <c r="B6" s="7" t="n">
        <v>1</v>
      </c>
      <c r="C6" s="6" t="s">
        <v>61</v>
      </c>
      <c r="D6" s="7" t="n">
        <v>1</v>
      </c>
      <c r="E6" s="6" t="s">
        <v>62</v>
      </c>
      <c r="F6" s="6" t="s">
        <v>63</v>
      </c>
      <c r="G6" s="7" t="n">
        <v>15</v>
      </c>
      <c r="H6" s="7" t="n">
        <v>500</v>
      </c>
      <c r="I6" s="6" t="s">
        <v>113</v>
      </c>
      <c r="J6" s="6" t="s">
        <v>114</v>
      </c>
      <c r="K6" s="6" t="s">
        <v>115</v>
      </c>
      <c r="L6" s="6" t="s">
        <v>115</v>
      </c>
      <c r="M6" s="6" t="s">
        <v>79</v>
      </c>
      <c r="N6" s="6" t="s">
        <v>79</v>
      </c>
      <c r="O6" s="6" t="s">
        <v>116</v>
      </c>
      <c r="P6" s="6" t="s">
        <v>116</v>
      </c>
      <c r="Q6" s="6" t="s">
        <v>80</v>
      </c>
      <c r="R6" s="6" t="s">
        <v>80</v>
      </c>
      <c r="S6" s="8" t="s">
        <v>70</v>
      </c>
      <c r="T6" s="6" t="s">
        <v>117</v>
      </c>
      <c r="U6" s="6" t="s">
        <v>118</v>
      </c>
      <c r="V6" s="6" t="s">
        <v>85</v>
      </c>
      <c r="W6" s="9" t="s">
        <v>74</v>
      </c>
      <c r="X6" s="6" t="s">
        <v>75</v>
      </c>
    </row>
    <row r="7" customFormat="false" ht="35.05" hidden="false" customHeight="false" outlineLevel="0" collapsed="false">
      <c r="A7" s="6" t="s">
        <v>119</v>
      </c>
      <c r="B7" s="7" t="n">
        <v>1</v>
      </c>
      <c r="C7" s="6" t="s">
        <v>61</v>
      </c>
      <c r="D7" s="7" t="n">
        <v>2</v>
      </c>
      <c r="E7" s="6" t="s">
        <v>120</v>
      </c>
      <c r="F7" s="6" t="s">
        <v>63</v>
      </c>
      <c r="G7" s="7" t="n">
        <v>20</v>
      </c>
      <c r="H7" s="7" t="n">
        <v>750</v>
      </c>
      <c r="I7" s="6" t="s">
        <v>121</v>
      </c>
      <c r="J7" s="6" t="s">
        <v>122</v>
      </c>
      <c r="K7" s="6" t="s">
        <v>123</v>
      </c>
      <c r="L7" s="6" t="s">
        <v>124</v>
      </c>
      <c r="M7" s="6" t="s">
        <v>125</v>
      </c>
      <c r="N7" s="6" t="s">
        <v>126</v>
      </c>
      <c r="O7" s="6" t="s">
        <v>127</v>
      </c>
      <c r="P7" s="6" t="s">
        <v>128</v>
      </c>
      <c r="Q7" s="6" t="s">
        <v>129</v>
      </c>
      <c r="R7" s="6" t="s">
        <v>130</v>
      </c>
      <c r="S7" s="8" t="s">
        <v>70</v>
      </c>
      <c r="T7" s="6" t="s">
        <v>131</v>
      </c>
      <c r="U7" s="6" t="s">
        <v>132</v>
      </c>
      <c r="V7" s="6" t="s">
        <v>133</v>
      </c>
      <c r="W7" s="9" t="s">
        <v>74</v>
      </c>
      <c r="X7" s="6" t="s">
        <v>75</v>
      </c>
    </row>
    <row r="8" customFormat="false" ht="46.25" hidden="false" customHeight="false" outlineLevel="0" collapsed="false">
      <c r="A8" s="6" t="s">
        <v>134</v>
      </c>
      <c r="B8" s="7" t="n">
        <v>1</v>
      </c>
      <c r="C8" s="6" t="s">
        <v>61</v>
      </c>
      <c r="D8" s="7" t="n">
        <v>2</v>
      </c>
      <c r="E8" s="6" t="s">
        <v>120</v>
      </c>
      <c r="F8" s="6" t="s">
        <v>63</v>
      </c>
      <c r="G8" s="7" t="n">
        <v>20</v>
      </c>
      <c r="H8" s="7" t="n">
        <v>750</v>
      </c>
      <c r="I8" s="6" t="s">
        <v>135</v>
      </c>
      <c r="J8" s="6" t="s">
        <v>136</v>
      </c>
      <c r="K8" s="6" t="s">
        <v>137</v>
      </c>
      <c r="L8" s="6" t="s">
        <v>137</v>
      </c>
      <c r="M8" s="6" t="s">
        <v>138</v>
      </c>
      <c r="N8" s="6" t="s">
        <v>139</v>
      </c>
      <c r="O8" s="6" t="s">
        <v>140</v>
      </c>
      <c r="P8" s="6" t="s">
        <v>140</v>
      </c>
      <c r="Q8" s="6" t="s">
        <v>141</v>
      </c>
      <c r="R8" s="6" t="s">
        <v>141</v>
      </c>
      <c r="S8" s="8" t="s">
        <v>70</v>
      </c>
      <c r="T8" s="6" t="s">
        <v>142</v>
      </c>
      <c r="U8" s="6" t="s">
        <v>143</v>
      </c>
      <c r="V8" s="6" t="s">
        <v>144</v>
      </c>
      <c r="W8" s="9" t="s">
        <v>74</v>
      </c>
      <c r="X8" s="6" t="s">
        <v>75</v>
      </c>
    </row>
    <row r="9" customFormat="false" ht="35.05" hidden="false" customHeight="false" outlineLevel="0" collapsed="false">
      <c r="A9" s="6" t="s">
        <v>145</v>
      </c>
      <c r="B9" s="7" t="n">
        <v>1</v>
      </c>
      <c r="C9" s="6" t="s">
        <v>61</v>
      </c>
      <c r="D9" s="7" t="n">
        <v>2</v>
      </c>
      <c r="E9" s="6" t="s">
        <v>120</v>
      </c>
      <c r="F9" s="6" t="s">
        <v>63</v>
      </c>
      <c r="G9" s="7" t="n">
        <v>20</v>
      </c>
      <c r="H9" s="7" t="n">
        <v>750</v>
      </c>
      <c r="I9" s="6" t="s">
        <v>146</v>
      </c>
      <c r="J9" s="6" t="s">
        <v>147</v>
      </c>
      <c r="K9" s="6" t="s">
        <v>148</v>
      </c>
      <c r="L9" s="6" t="s">
        <v>149</v>
      </c>
      <c r="M9" s="6" t="s">
        <v>150</v>
      </c>
      <c r="N9" s="6" t="s">
        <v>151</v>
      </c>
      <c r="O9" s="6" t="s">
        <v>152</v>
      </c>
      <c r="P9" s="6" t="s">
        <v>153</v>
      </c>
      <c r="Q9" s="6" t="s">
        <v>154</v>
      </c>
      <c r="R9" s="6" t="s">
        <v>155</v>
      </c>
      <c r="S9" s="8" t="s">
        <v>70</v>
      </c>
      <c r="T9" s="6" t="s">
        <v>156</v>
      </c>
      <c r="U9" s="6" t="s">
        <v>157</v>
      </c>
      <c r="V9" s="6" t="s">
        <v>85</v>
      </c>
      <c r="W9" s="9" t="s">
        <v>74</v>
      </c>
      <c r="X9" s="6" t="s">
        <v>75</v>
      </c>
    </row>
    <row r="10" customFormat="false" ht="46.25" hidden="false" customHeight="false" outlineLevel="0" collapsed="false">
      <c r="A10" s="6" t="s">
        <v>158</v>
      </c>
      <c r="B10" s="7" t="n">
        <v>1</v>
      </c>
      <c r="C10" s="6" t="s">
        <v>61</v>
      </c>
      <c r="D10" s="7" t="n">
        <v>2</v>
      </c>
      <c r="E10" s="6" t="s">
        <v>120</v>
      </c>
      <c r="F10" s="6" t="s">
        <v>63</v>
      </c>
      <c r="G10" s="7" t="n">
        <v>20</v>
      </c>
      <c r="H10" s="7" t="n">
        <v>750</v>
      </c>
      <c r="I10" s="6" t="s">
        <v>159</v>
      </c>
      <c r="J10" s="6" t="s">
        <v>160</v>
      </c>
      <c r="K10" s="6" t="s">
        <v>161</v>
      </c>
      <c r="L10" s="6" t="s">
        <v>162</v>
      </c>
      <c r="M10" s="6" t="s">
        <v>163</v>
      </c>
      <c r="N10" s="6" t="s">
        <v>163</v>
      </c>
      <c r="O10" s="6" t="s">
        <v>164</v>
      </c>
      <c r="P10" s="6" t="s">
        <v>165</v>
      </c>
      <c r="Q10" s="6" t="s">
        <v>166</v>
      </c>
      <c r="R10" s="6" t="s">
        <v>167</v>
      </c>
      <c r="S10" s="8" t="s">
        <v>94</v>
      </c>
      <c r="T10" s="6" t="s">
        <v>168</v>
      </c>
      <c r="U10" s="6" t="s">
        <v>169</v>
      </c>
      <c r="V10" s="6" t="s">
        <v>170</v>
      </c>
      <c r="W10" s="9" t="s">
        <v>74</v>
      </c>
      <c r="X10" s="6" t="s">
        <v>75</v>
      </c>
    </row>
    <row r="11" customFormat="false" ht="68.65" hidden="false" customHeight="false" outlineLevel="0" collapsed="false">
      <c r="A11" s="6" t="s">
        <v>171</v>
      </c>
      <c r="B11" s="7" t="n">
        <v>1</v>
      </c>
      <c r="C11" s="6" t="s">
        <v>61</v>
      </c>
      <c r="D11" s="7" t="n">
        <v>3</v>
      </c>
      <c r="E11" s="6" t="s">
        <v>172</v>
      </c>
      <c r="F11" s="6" t="s">
        <v>63</v>
      </c>
      <c r="G11" s="7" t="n">
        <v>25</v>
      </c>
      <c r="H11" s="7" t="n">
        <v>1000</v>
      </c>
      <c r="I11" s="6" t="s">
        <v>173</v>
      </c>
      <c r="J11" s="6" t="s">
        <v>174</v>
      </c>
      <c r="K11" s="6" t="s">
        <v>175</v>
      </c>
      <c r="L11" s="6" t="s">
        <v>176</v>
      </c>
      <c r="M11" s="6" t="s">
        <v>177</v>
      </c>
      <c r="N11" s="6" t="s">
        <v>178</v>
      </c>
      <c r="O11" s="6" t="s">
        <v>179</v>
      </c>
      <c r="P11" s="6" t="s">
        <v>180</v>
      </c>
      <c r="Q11" s="6" t="s">
        <v>181</v>
      </c>
      <c r="R11" s="6" t="s">
        <v>182</v>
      </c>
      <c r="S11" s="8" t="s">
        <v>70</v>
      </c>
      <c r="T11" s="6" t="s">
        <v>183</v>
      </c>
      <c r="U11" s="6" t="s">
        <v>184</v>
      </c>
      <c r="V11" s="6" t="s">
        <v>185</v>
      </c>
      <c r="W11" s="9" t="s">
        <v>74</v>
      </c>
      <c r="X11" s="6" t="s">
        <v>75</v>
      </c>
    </row>
    <row r="12" customFormat="false" ht="46.25" hidden="false" customHeight="false" outlineLevel="0" collapsed="false">
      <c r="A12" s="6" t="s">
        <v>186</v>
      </c>
      <c r="B12" s="7" t="n">
        <v>1</v>
      </c>
      <c r="C12" s="6" t="s">
        <v>61</v>
      </c>
      <c r="D12" s="7" t="n">
        <v>3</v>
      </c>
      <c r="E12" s="6" t="s">
        <v>172</v>
      </c>
      <c r="F12" s="6" t="s">
        <v>63</v>
      </c>
      <c r="G12" s="7" t="n">
        <v>25</v>
      </c>
      <c r="H12" s="7" t="n">
        <v>1000</v>
      </c>
      <c r="I12" s="6" t="s">
        <v>187</v>
      </c>
      <c r="J12" s="6" t="s">
        <v>188</v>
      </c>
      <c r="K12" s="6" t="s">
        <v>189</v>
      </c>
      <c r="L12" s="6" t="s">
        <v>190</v>
      </c>
      <c r="M12" s="6" t="s">
        <v>191</v>
      </c>
      <c r="N12" s="6" t="s">
        <v>192</v>
      </c>
      <c r="O12" s="6" t="s">
        <v>193</v>
      </c>
      <c r="P12" s="6" t="s">
        <v>194</v>
      </c>
      <c r="Q12" s="6" t="s">
        <v>195</v>
      </c>
      <c r="R12" s="6" t="s">
        <v>196</v>
      </c>
      <c r="S12" s="8" t="s">
        <v>70</v>
      </c>
      <c r="T12" s="6" t="s">
        <v>197</v>
      </c>
      <c r="U12" s="6" t="s">
        <v>198</v>
      </c>
      <c r="V12" s="6" t="s">
        <v>85</v>
      </c>
      <c r="W12" s="9" t="s">
        <v>74</v>
      </c>
      <c r="X12" s="6" t="s">
        <v>75</v>
      </c>
    </row>
    <row r="13" customFormat="false" ht="46.25" hidden="false" customHeight="false" outlineLevel="0" collapsed="false">
      <c r="A13" s="6" t="s">
        <v>199</v>
      </c>
      <c r="B13" s="7" t="n">
        <v>1</v>
      </c>
      <c r="C13" s="6" t="s">
        <v>61</v>
      </c>
      <c r="D13" s="7" t="n">
        <v>3</v>
      </c>
      <c r="E13" s="6" t="s">
        <v>172</v>
      </c>
      <c r="F13" s="6" t="s">
        <v>63</v>
      </c>
      <c r="G13" s="7" t="n">
        <v>25</v>
      </c>
      <c r="H13" s="7" t="n">
        <v>1000</v>
      </c>
      <c r="I13" s="6" t="s">
        <v>200</v>
      </c>
      <c r="J13" s="6" t="s">
        <v>201</v>
      </c>
      <c r="K13" s="6" t="s">
        <v>202</v>
      </c>
      <c r="L13" s="6" t="s">
        <v>203</v>
      </c>
      <c r="M13" s="6" t="s">
        <v>204</v>
      </c>
      <c r="N13" s="6" t="s">
        <v>205</v>
      </c>
      <c r="O13" s="6" t="s">
        <v>206</v>
      </c>
      <c r="P13" s="6" t="s">
        <v>207</v>
      </c>
      <c r="Q13" s="6" t="s">
        <v>208</v>
      </c>
      <c r="R13" s="6" t="s">
        <v>209</v>
      </c>
      <c r="S13" s="8" t="s">
        <v>210</v>
      </c>
      <c r="T13" s="6" t="s">
        <v>211</v>
      </c>
      <c r="U13" s="6" t="s">
        <v>212</v>
      </c>
      <c r="V13" s="6" t="s">
        <v>213</v>
      </c>
      <c r="W13" s="9" t="s">
        <v>74</v>
      </c>
      <c r="X13" s="6" t="s">
        <v>75</v>
      </c>
    </row>
    <row r="14" customFormat="false" ht="35.05" hidden="false" customHeight="false" outlineLevel="0" collapsed="false">
      <c r="A14" s="6" t="s">
        <v>214</v>
      </c>
      <c r="B14" s="7" t="n">
        <v>2</v>
      </c>
      <c r="C14" s="6" t="s">
        <v>215</v>
      </c>
      <c r="D14" s="7" t="n">
        <v>1</v>
      </c>
      <c r="E14" s="6" t="s">
        <v>62</v>
      </c>
      <c r="F14" s="6" t="s">
        <v>63</v>
      </c>
      <c r="G14" s="7" t="n">
        <v>15</v>
      </c>
      <c r="H14" s="7" t="n">
        <v>500</v>
      </c>
      <c r="I14" s="6" t="s">
        <v>216</v>
      </c>
      <c r="J14" s="6" t="s">
        <v>217</v>
      </c>
      <c r="K14" s="6" t="s">
        <v>218</v>
      </c>
      <c r="L14" s="6" t="s">
        <v>218</v>
      </c>
      <c r="M14" s="6" t="s">
        <v>219</v>
      </c>
      <c r="N14" s="6" t="s">
        <v>219</v>
      </c>
      <c r="O14" s="6" t="s">
        <v>220</v>
      </c>
      <c r="P14" s="6" t="s">
        <v>220</v>
      </c>
      <c r="Q14" s="6" t="s">
        <v>221</v>
      </c>
      <c r="R14" s="6" t="s">
        <v>221</v>
      </c>
      <c r="S14" s="8" t="s">
        <v>94</v>
      </c>
      <c r="T14" s="6" t="s">
        <v>222</v>
      </c>
      <c r="U14" s="6" t="s">
        <v>223</v>
      </c>
      <c r="V14" s="6" t="s">
        <v>224</v>
      </c>
      <c r="W14" s="9" t="s">
        <v>74</v>
      </c>
      <c r="X14" s="6" t="s">
        <v>75</v>
      </c>
    </row>
    <row r="15" customFormat="false" ht="35.05" hidden="false" customHeight="false" outlineLevel="0" collapsed="false">
      <c r="A15" s="6" t="s">
        <v>225</v>
      </c>
      <c r="B15" s="7" t="n">
        <v>2</v>
      </c>
      <c r="C15" s="6" t="s">
        <v>215</v>
      </c>
      <c r="D15" s="7" t="n">
        <v>1</v>
      </c>
      <c r="E15" s="6" t="s">
        <v>62</v>
      </c>
      <c r="F15" s="6" t="s">
        <v>63</v>
      </c>
      <c r="G15" s="7" t="n">
        <v>15</v>
      </c>
      <c r="H15" s="7" t="n">
        <v>500</v>
      </c>
      <c r="I15" s="6" t="s">
        <v>226</v>
      </c>
      <c r="J15" s="6" t="s">
        <v>227</v>
      </c>
      <c r="K15" s="6" t="s">
        <v>137</v>
      </c>
      <c r="L15" s="6" t="s">
        <v>137</v>
      </c>
      <c r="M15" s="6" t="s">
        <v>140</v>
      </c>
      <c r="N15" s="6" t="s">
        <v>140</v>
      </c>
      <c r="O15" s="6" t="s">
        <v>228</v>
      </c>
      <c r="P15" s="6" t="s">
        <v>228</v>
      </c>
      <c r="Q15" s="6" t="s">
        <v>141</v>
      </c>
      <c r="R15" s="6" t="s">
        <v>141</v>
      </c>
      <c r="S15" s="8" t="s">
        <v>70</v>
      </c>
      <c r="T15" s="6" t="s">
        <v>229</v>
      </c>
      <c r="U15" s="6" t="s">
        <v>230</v>
      </c>
      <c r="V15" s="6" t="s">
        <v>231</v>
      </c>
      <c r="W15" s="9" t="s">
        <v>74</v>
      </c>
      <c r="X15" s="6" t="s">
        <v>75</v>
      </c>
    </row>
    <row r="16" customFormat="false" ht="46.25" hidden="false" customHeight="false" outlineLevel="0" collapsed="false">
      <c r="A16" s="6" t="s">
        <v>232</v>
      </c>
      <c r="B16" s="7" t="n">
        <v>2</v>
      </c>
      <c r="C16" s="6" t="s">
        <v>215</v>
      </c>
      <c r="D16" s="7" t="n">
        <v>1</v>
      </c>
      <c r="E16" s="6" t="s">
        <v>62</v>
      </c>
      <c r="F16" s="6" t="s">
        <v>87</v>
      </c>
      <c r="G16" s="7" t="n">
        <v>15</v>
      </c>
      <c r="H16" s="7" t="n">
        <v>500</v>
      </c>
      <c r="I16" s="6" t="s">
        <v>233</v>
      </c>
      <c r="J16" s="6" t="s">
        <v>234</v>
      </c>
      <c r="K16" s="6" t="s">
        <v>90</v>
      </c>
      <c r="L16" s="6" t="s">
        <v>91</v>
      </c>
      <c r="M16" s="6" t="s">
        <v>92</v>
      </c>
      <c r="N16" s="6" t="s">
        <v>93</v>
      </c>
      <c r="O16" s="6"/>
      <c r="P16" s="6"/>
      <c r="Q16" s="6"/>
      <c r="R16" s="6"/>
      <c r="S16" s="8" t="s">
        <v>94</v>
      </c>
      <c r="T16" s="6" t="s">
        <v>235</v>
      </c>
      <c r="U16" s="6" t="s">
        <v>236</v>
      </c>
      <c r="V16" s="6" t="s">
        <v>237</v>
      </c>
      <c r="W16" s="9" t="s">
        <v>74</v>
      </c>
      <c r="X16" s="6" t="s">
        <v>75</v>
      </c>
    </row>
    <row r="17" customFormat="false" ht="35.05" hidden="false" customHeight="false" outlineLevel="0" collapsed="false">
      <c r="A17" s="6" t="s">
        <v>238</v>
      </c>
      <c r="B17" s="7" t="n">
        <v>2</v>
      </c>
      <c r="C17" s="6" t="s">
        <v>215</v>
      </c>
      <c r="D17" s="7" t="n">
        <v>1</v>
      </c>
      <c r="E17" s="6" t="s">
        <v>62</v>
      </c>
      <c r="F17" s="6" t="s">
        <v>63</v>
      </c>
      <c r="G17" s="7" t="n">
        <v>15</v>
      </c>
      <c r="H17" s="7" t="n">
        <v>500</v>
      </c>
      <c r="I17" s="6" t="s">
        <v>239</v>
      </c>
      <c r="J17" s="6" t="s">
        <v>240</v>
      </c>
      <c r="K17" s="6" t="s">
        <v>137</v>
      </c>
      <c r="L17" s="6" t="s">
        <v>137</v>
      </c>
      <c r="M17" s="6" t="s">
        <v>241</v>
      </c>
      <c r="N17" s="6" t="s">
        <v>241</v>
      </c>
      <c r="O17" s="6" t="s">
        <v>242</v>
      </c>
      <c r="P17" s="6" t="s">
        <v>242</v>
      </c>
      <c r="Q17" s="6" t="s">
        <v>243</v>
      </c>
      <c r="R17" s="6" t="s">
        <v>243</v>
      </c>
      <c r="S17" s="8" t="s">
        <v>94</v>
      </c>
      <c r="T17" s="6" t="s">
        <v>244</v>
      </c>
      <c r="U17" s="6" t="s">
        <v>245</v>
      </c>
      <c r="V17" s="6" t="s">
        <v>246</v>
      </c>
      <c r="W17" s="9" t="s">
        <v>74</v>
      </c>
      <c r="X17" s="6" t="s">
        <v>75</v>
      </c>
    </row>
    <row r="18" customFormat="false" ht="46.25" hidden="false" customHeight="false" outlineLevel="0" collapsed="false">
      <c r="A18" s="6" t="s">
        <v>247</v>
      </c>
      <c r="B18" s="7" t="n">
        <v>2</v>
      </c>
      <c r="C18" s="6" t="s">
        <v>215</v>
      </c>
      <c r="D18" s="7" t="n">
        <v>1</v>
      </c>
      <c r="E18" s="6" t="s">
        <v>62</v>
      </c>
      <c r="F18" s="6" t="s">
        <v>63</v>
      </c>
      <c r="G18" s="7" t="n">
        <v>15</v>
      </c>
      <c r="H18" s="7" t="n">
        <v>500</v>
      </c>
      <c r="I18" s="6" t="s">
        <v>248</v>
      </c>
      <c r="J18" s="6" t="s">
        <v>249</v>
      </c>
      <c r="K18" s="6" t="s">
        <v>250</v>
      </c>
      <c r="L18" s="6" t="s">
        <v>251</v>
      </c>
      <c r="M18" s="6" t="s">
        <v>252</v>
      </c>
      <c r="N18" s="6" t="s">
        <v>253</v>
      </c>
      <c r="O18" s="6" t="s">
        <v>254</v>
      </c>
      <c r="P18" s="6" t="s">
        <v>255</v>
      </c>
      <c r="Q18" s="6" t="s">
        <v>256</v>
      </c>
      <c r="R18" s="6" t="s">
        <v>257</v>
      </c>
      <c r="S18" s="8" t="s">
        <v>94</v>
      </c>
      <c r="T18" s="6" t="s">
        <v>258</v>
      </c>
      <c r="U18" s="6" t="s">
        <v>259</v>
      </c>
      <c r="V18" s="6" t="s">
        <v>260</v>
      </c>
      <c r="W18" s="9" t="s">
        <v>74</v>
      </c>
      <c r="X18" s="6" t="s">
        <v>75</v>
      </c>
    </row>
    <row r="19" customFormat="false" ht="46.25" hidden="false" customHeight="false" outlineLevel="0" collapsed="false">
      <c r="A19" s="6" t="s">
        <v>261</v>
      </c>
      <c r="B19" s="7" t="n">
        <v>2</v>
      </c>
      <c r="C19" s="6" t="s">
        <v>215</v>
      </c>
      <c r="D19" s="7" t="n">
        <v>2</v>
      </c>
      <c r="E19" s="6" t="s">
        <v>120</v>
      </c>
      <c r="F19" s="6" t="s">
        <v>63</v>
      </c>
      <c r="G19" s="7" t="n">
        <v>20</v>
      </c>
      <c r="H19" s="7" t="n">
        <v>750</v>
      </c>
      <c r="I19" s="6" t="s">
        <v>262</v>
      </c>
      <c r="J19" s="6" t="s">
        <v>263</v>
      </c>
      <c r="K19" s="6" t="s">
        <v>264</v>
      </c>
      <c r="L19" s="6" t="s">
        <v>265</v>
      </c>
      <c r="M19" s="6" t="s">
        <v>266</v>
      </c>
      <c r="N19" s="6" t="s">
        <v>267</v>
      </c>
      <c r="O19" s="6" t="s">
        <v>268</v>
      </c>
      <c r="P19" s="6" t="s">
        <v>269</v>
      </c>
      <c r="Q19" s="6" t="s">
        <v>270</v>
      </c>
      <c r="R19" s="6" t="s">
        <v>271</v>
      </c>
      <c r="S19" s="8" t="s">
        <v>94</v>
      </c>
      <c r="T19" s="6" t="s">
        <v>272</v>
      </c>
      <c r="U19" s="6" t="s">
        <v>273</v>
      </c>
      <c r="V19" s="6" t="s">
        <v>274</v>
      </c>
      <c r="W19" s="9" t="s">
        <v>74</v>
      </c>
      <c r="X19" s="6" t="s">
        <v>75</v>
      </c>
    </row>
    <row r="20" customFormat="false" ht="46.25" hidden="false" customHeight="false" outlineLevel="0" collapsed="false">
      <c r="A20" s="6" t="s">
        <v>275</v>
      </c>
      <c r="B20" s="7" t="n">
        <v>2</v>
      </c>
      <c r="C20" s="6" t="s">
        <v>215</v>
      </c>
      <c r="D20" s="7" t="n">
        <v>2</v>
      </c>
      <c r="E20" s="6" t="s">
        <v>120</v>
      </c>
      <c r="F20" s="6" t="s">
        <v>63</v>
      </c>
      <c r="G20" s="7" t="n">
        <v>20</v>
      </c>
      <c r="H20" s="7" t="n">
        <v>750</v>
      </c>
      <c r="I20" s="6" t="s">
        <v>276</v>
      </c>
      <c r="J20" s="6" t="s">
        <v>277</v>
      </c>
      <c r="K20" s="6" t="s">
        <v>278</v>
      </c>
      <c r="L20" s="6" t="s">
        <v>279</v>
      </c>
      <c r="M20" s="6" t="s">
        <v>280</v>
      </c>
      <c r="N20" s="6" t="s">
        <v>281</v>
      </c>
      <c r="O20" s="6" t="s">
        <v>282</v>
      </c>
      <c r="P20" s="6" t="s">
        <v>283</v>
      </c>
      <c r="Q20" s="6" t="s">
        <v>284</v>
      </c>
      <c r="R20" s="6" t="s">
        <v>285</v>
      </c>
      <c r="S20" s="8" t="s">
        <v>94</v>
      </c>
      <c r="T20" s="6" t="s">
        <v>286</v>
      </c>
      <c r="U20" s="6" t="s">
        <v>287</v>
      </c>
      <c r="V20" s="6" t="s">
        <v>288</v>
      </c>
      <c r="W20" s="9" t="s">
        <v>74</v>
      </c>
      <c r="X20" s="6" t="s">
        <v>75</v>
      </c>
    </row>
    <row r="21" customFormat="false" ht="35.05" hidden="false" customHeight="false" outlineLevel="0" collapsed="false">
      <c r="A21" s="6" t="s">
        <v>289</v>
      </c>
      <c r="B21" s="7" t="n">
        <v>2</v>
      </c>
      <c r="C21" s="6" t="s">
        <v>215</v>
      </c>
      <c r="D21" s="7" t="n">
        <v>2</v>
      </c>
      <c r="E21" s="6" t="s">
        <v>120</v>
      </c>
      <c r="F21" s="6" t="s">
        <v>63</v>
      </c>
      <c r="G21" s="7" t="n">
        <v>20</v>
      </c>
      <c r="H21" s="7" t="n">
        <v>750</v>
      </c>
      <c r="I21" s="6" t="s">
        <v>290</v>
      </c>
      <c r="J21" s="6" t="s">
        <v>291</v>
      </c>
      <c r="K21" s="6" t="s">
        <v>292</v>
      </c>
      <c r="L21" s="6" t="s">
        <v>292</v>
      </c>
      <c r="M21" s="6" t="s">
        <v>293</v>
      </c>
      <c r="N21" s="6" t="s">
        <v>293</v>
      </c>
      <c r="O21" s="6" t="s">
        <v>294</v>
      </c>
      <c r="P21" s="6" t="s">
        <v>294</v>
      </c>
      <c r="Q21" s="6" t="s">
        <v>295</v>
      </c>
      <c r="R21" s="6" t="s">
        <v>295</v>
      </c>
      <c r="S21" s="8" t="s">
        <v>70</v>
      </c>
      <c r="T21" s="6" t="s">
        <v>296</v>
      </c>
      <c r="U21" s="6" t="s">
        <v>297</v>
      </c>
      <c r="V21" s="6" t="s">
        <v>298</v>
      </c>
      <c r="W21" s="9" t="s">
        <v>74</v>
      </c>
      <c r="X21" s="6" t="s">
        <v>75</v>
      </c>
    </row>
    <row r="22" customFormat="false" ht="46.25" hidden="false" customHeight="false" outlineLevel="0" collapsed="false">
      <c r="A22" s="6" t="s">
        <v>299</v>
      </c>
      <c r="B22" s="7" t="n">
        <v>2</v>
      </c>
      <c r="C22" s="6" t="s">
        <v>215</v>
      </c>
      <c r="D22" s="7" t="n">
        <v>2</v>
      </c>
      <c r="E22" s="6" t="s">
        <v>120</v>
      </c>
      <c r="F22" s="6" t="s">
        <v>63</v>
      </c>
      <c r="G22" s="7" t="n">
        <v>20</v>
      </c>
      <c r="H22" s="7" t="n">
        <v>750</v>
      </c>
      <c r="I22" s="6" t="s">
        <v>300</v>
      </c>
      <c r="J22" s="6" t="s">
        <v>301</v>
      </c>
      <c r="K22" s="6" t="s">
        <v>302</v>
      </c>
      <c r="L22" s="6" t="s">
        <v>303</v>
      </c>
      <c r="M22" s="6" t="s">
        <v>304</v>
      </c>
      <c r="N22" s="6" t="s">
        <v>305</v>
      </c>
      <c r="O22" s="6" t="s">
        <v>306</v>
      </c>
      <c r="P22" s="6" t="s">
        <v>307</v>
      </c>
      <c r="Q22" s="6" t="s">
        <v>308</v>
      </c>
      <c r="R22" s="6" t="s">
        <v>309</v>
      </c>
      <c r="S22" s="8" t="s">
        <v>94</v>
      </c>
      <c r="T22" s="6" t="s">
        <v>310</v>
      </c>
      <c r="U22" s="6" t="s">
        <v>311</v>
      </c>
      <c r="V22" s="6" t="s">
        <v>312</v>
      </c>
      <c r="W22" s="9" t="s">
        <v>74</v>
      </c>
      <c r="X22" s="6" t="s">
        <v>75</v>
      </c>
    </row>
    <row r="23" customFormat="false" ht="46.25" hidden="false" customHeight="false" outlineLevel="0" collapsed="false">
      <c r="A23" s="6" t="s">
        <v>313</v>
      </c>
      <c r="B23" s="7" t="n">
        <v>2</v>
      </c>
      <c r="C23" s="6" t="s">
        <v>215</v>
      </c>
      <c r="D23" s="7" t="n">
        <v>3</v>
      </c>
      <c r="E23" s="6" t="s">
        <v>172</v>
      </c>
      <c r="F23" s="6" t="s">
        <v>63</v>
      </c>
      <c r="G23" s="7" t="n">
        <v>25</v>
      </c>
      <c r="H23" s="7" t="n">
        <v>1000</v>
      </c>
      <c r="I23" s="6" t="s">
        <v>314</v>
      </c>
      <c r="J23" s="6" t="s">
        <v>315</v>
      </c>
      <c r="K23" s="6" t="s">
        <v>316</v>
      </c>
      <c r="L23" s="6" t="s">
        <v>317</v>
      </c>
      <c r="M23" s="6" t="s">
        <v>318</v>
      </c>
      <c r="N23" s="6" t="s">
        <v>319</v>
      </c>
      <c r="O23" s="6" t="s">
        <v>320</v>
      </c>
      <c r="P23" s="6" t="s">
        <v>321</v>
      </c>
      <c r="Q23" s="6" t="s">
        <v>322</v>
      </c>
      <c r="R23" s="6" t="s">
        <v>323</v>
      </c>
      <c r="S23" s="8" t="s">
        <v>210</v>
      </c>
      <c r="T23" s="6" t="s">
        <v>324</v>
      </c>
      <c r="U23" s="6" t="s">
        <v>325</v>
      </c>
      <c r="V23" s="6" t="s">
        <v>288</v>
      </c>
      <c r="W23" s="9" t="s">
        <v>74</v>
      </c>
      <c r="X23" s="6" t="s">
        <v>75</v>
      </c>
    </row>
    <row r="24" customFormat="false" ht="46.25" hidden="false" customHeight="false" outlineLevel="0" collapsed="false">
      <c r="A24" s="6" t="s">
        <v>326</v>
      </c>
      <c r="B24" s="7" t="n">
        <v>2</v>
      </c>
      <c r="C24" s="6" t="s">
        <v>215</v>
      </c>
      <c r="D24" s="7" t="n">
        <v>3</v>
      </c>
      <c r="E24" s="6" t="s">
        <v>172</v>
      </c>
      <c r="F24" s="6" t="s">
        <v>63</v>
      </c>
      <c r="G24" s="7" t="n">
        <v>25</v>
      </c>
      <c r="H24" s="7" t="n">
        <v>1000</v>
      </c>
      <c r="I24" s="6" t="s">
        <v>327</v>
      </c>
      <c r="J24" s="6" t="s">
        <v>328</v>
      </c>
      <c r="K24" s="6" t="s">
        <v>329</v>
      </c>
      <c r="L24" s="6" t="s">
        <v>330</v>
      </c>
      <c r="M24" s="6" t="s">
        <v>331</v>
      </c>
      <c r="N24" s="6" t="s">
        <v>332</v>
      </c>
      <c r="O24" s="6" t="s">
        <v>333</v>
      </c>
      <c r="P24" s="6" t="s">
        <v>334</v>
      </c>
      <c r="Q24" s="6" t="s">
        <v>335</v>
      </c>
      <c r="R24" s="6" t="s">
        <v>336</v>
      </c>
      <c r="S24" s="8" t="s">
        <v>94</v>
      </c>
      <c r="T24" s="6" t="s">
        <v>337</v>
      </c>
      <c r="U24" s="6" t="s">
        <v>338</v>
      </c>
      <c r="V24" s="6" t="s">
        <v>339</v>
      </c>
      <c r="W24" s="9" t="s">
        <v>74</v>
      </c>
      <c r="X24" s="6" t="s">
        <v>75</v>
      </c>
    </row>
    <row r="25" customFormat="false" ht="46.25" hidden="false" customHeight="false" outlineLevel="0" collapsed="false">
      <c r="A25" s="6" t="s">
        <v>340</v>
      </c>
      <c r="B25" s="7" t="n">
        <v>2</v>
      </c>
      <c r="C25" s="6" t="s">
        <v>215</v>
      </c>
      <c r="D25" s="7" t="n">
        <v>3</v>
      </c>
      <c r="E25" s="6" t="s">
        <v>172</v>
      </c>
      <c r="F25" s="6" t="s">
        <v>63</v>
      </c>
      <c r="G25" s="7" t="n">
        <v>25</v>
      </c>
      <c r="H25" s="7" t="n">
        <v>1000</v>
      </c>
      <c r="I25" s="6" t="s">
        <v>341</v>
      </c>
      <c r="J25" s="6" t="s">
        <v>342</v>
      </c>
      <c r="K25" s="6" t="s">
        <v>343</v>
      </c>
      <c r="L25" s="6" t="s">
        <v>344</v>
      </c>
      <c r="M25" s="6" t="s">
        <v>345</v>
      </c>
      <c r="N25" s="6" t="s">
        <v>346</v>
      </c>
      <c r="O25" s="6" t="s">
        <v>347</v>
      </c>
      <c r="P25" s="6" t="s">
        <v>348</v>
      </c>
      <c r="Q25" s="6" t="s">
        <v>349</v>
      </c>
      <c r="R25" s="6" t="s">
        <v>350</v>
      </c>
      <c r="S25" s="8" t="s">
        <v>94</v>
      </c>
      <c r="T25" s="6" t="s">
        <v>351</v>
      </c>
      <c r="U25" s="6" t="s">
        <v>352</v>
      </c>
      <c r="V25" s="6" t="s">
        <v>353</v>
      </c>
      <c r="W25" s="9" t="s">
        <v>74</v>
      </c>
      <c r="X25" s="6" t="s">
        <v>75</v>
      </c>
    </row>
    <row r="26" customFormat="false" ht="35.05" hidden="false" customHeight="false" outlineLevel="0" collapsed="false">
      <c r="A26" s="6" t="s">
        <v>354</v>
      </c>
      <c r="B26" s="7" t="n">
        <v>3</v>
      </c>
      <c r="C26" s="6" t="s">
        <v>355</v>
      </c>
      <c r="D26" s="7" t="n">
        <v>1</v>
      </c>
      <c r="E26" s="6" t="s">
        <v>62</v>
      </c>
      <c r="F26" s="6" t="s">
        <v>63</v>
      </c>
      <c r="G26" s="7" t="n">
        <v>15</v>
      </c>
      <c r="H26" s="7" t="n">
        <v>500</v>
      </c>
      <c r="I26" s="6" t="s">
        <v>356</v>
      </c>
      <c r="J26" s="6" t="s">
        <v>357</v>
      </c>
      <c r="K26" s="6" t="s">
        <v>358</v>
      </c>
      <c r="L26" s="6" t="s">
        <v>359</v>
      </c>
      <c r="M26" s="6" t="s">
        <v>360</v>
      </c>
      <c r="N26" s="6" t="s">
        <v>360</v>
      </c>
      <c r="O26" s="6" t="s">
        <v>141</v>
      </c>
      <c r="P26" s="6" t="s">
        <v>141</v>
      </c>
      <c r="Q26" s="6" t="s">
        <v>361</v>
      </c>
      <c r="R26" s="6" t="s">
        <v>361</v>
      </c>
      <c r="S26" s="8" t="s">
        <v>94</v>
      </c>
      <c r="T26" s="6" t="s">
        <v>362</v>
      </c>
      <c r="U26" s="6" t="s">
        <v>363</v>
      </c>
      <c r="V26" s="6" t="s">
        <v>364</v>
      </c>
      <c r="W26" s="9" t="s">
        <v>74</v>
      </c>
      <c r="X26" s="6" t="s">
        <v>75</v>
      </c>
    </row>
    <row r="27" customFormat="false" ht="35.05" hidden="false" customHeight="false" outlineLevel="0" collapsed="false">
      <c r="A27" s="6" t="s">
        <v>365</v>
      </c>
      <c r="B27" s="7" t="n">
        <v>3</v>
      </c>
      <c r="C27" s="6" t="s">
        <v>355</v>
      </c>
      <c r="D27" s="7" t="n">
        <v>1</v>
      </c>
      <c r="E27" s="6" t="s">
        <v>62</v>
      </c>
      <c r="F27" s="6" t="s">
        <v>63</v>
      </c>
      <c r="G27" s="7" t="n">
        <v>15</v>
      </c>
      <c r="H27" s="7" t="n">
        <v>500</v>
      </c>
      <c r="I27" s="6" t="s">
        <v>366</v>
      </c>
      <c r="J27" s="6" t="s">
        <v>367</v>
      </c>
      <c r="K27" s="6" t="s">
        <v>368</v>
      </c>
      <c r="L27" s="6" t="s">
        <v>369</v>
      </c>
      <c r="M27" s="6" t="s">
        <v>370</v>
      </c>
      <c r="N27" s="6" t="s">
        <v>371</v>
      </c>
      <c r="O27" s="6" t="s">
        <v>372</v>
      </c>
      <c r="P27" s="6" t="s">
        <v>373</v>
      </c>
      <c r="Q27" s="6" t="s">
        <v>374</v>
      </c>
      <c r="R27" s="6" t="s">
        <v>375</v>
      </c>
      <c r="S27" s="8" t="s">
        <v>70</v>
      </c>
      <c r="T27" s="6" t="s">
        <v>376</v>
      </c>
      <c r="U27" s="6" t="s">
        <v>377</v>
      </c>
      <c r="V27" s="6" t="s">
        <v>378</v>
      </c>
      <c r="W27" s="9" t="s">
        <v>74</v>
      </c>
      <c r="X27" s="6" t="s">
        <v>75</v>
      </c>
    </row>
    <row r="28" customFormat="false" ht="23.85" hidden="false" customHeight="false" outlineLevel="0" collapsed="false">
      <c r="A28" s="6" t="s">
        <v>379</v>
      </c>
      <c r="B28" s="7" t="n">
        <v>3</v>
      </c>
      <c r="C28" s="6" t="s">
        <v>355</v>
      </c>
      <c r="D28" s="7" t="n">
        <v>1</v>
      </c>
      <c r="E28" s="6" t="s">
        <v>62</v>
      </c>
      <c r="F28" s="6" t="s">
        <v>63</v>
      </c>
      <c r="G28" s="7" t="n">
        <v>15</v>
      </c>
      <c r="H28" s="7" t="n">
        <v>500</v>
      </c>
      <c r="I28" s="6" t="s">
        <v>380</v>
      </c>
      <c r="J28" s="6" t="s">
        <v>381</v>
      </c>
      <c r="K28" s="6" t="s">
        <v>382</v>
      </c>
      <c r="L28" s="6" t="s">
        <v>383</v>
      </c>
      <c r="M28" s="6" t="s">
        <v>384</v>
      </c>
      <c r="N28" s="6" t="s">
        <v>385</v>
      </c>
      <c r="O28" s="6" t="s">
        <v>386</v>
      </c>
      <c r="P28" s="6" t="s">
        <v>387</v>
      </c>
      <c r="Q28" s="6" t="s">
        <v>388</v>
      </c>
      <c r="R28" s="6" t="s">
        <v>389</v>
      </c>
      <c r="S28" s="8" t="s">
        <v>70</v>
      </c>
      <c r="T28" s="6" t="s">
        <v>390</v>
      </c>
      <c r="U28" s="6" t="s">
        <v>391</v>
      </c>
      <c r="V28" s="6" t="s">
        <v>392</v>
      </c>
      <c r="W28" s="9" t="s">
        <v>74</v>
      </c>
      <c r="X28" s="6" t="s">
        <v>75</v>
      </c>
    </row>
    <row r="29" customFormat="false" ht="35.05" hidden="false" customHeight="false" outlineLevel="0" collapsed="false">
      <c r="A29" s="6" t="s">
        <v>393</v>
      </c>
      <c r="B29" s="7" t="n">
        <v>3</v>
      </c>
      <c r="C29" s="6" t="s">
        <v>355</v>
      </c>
      <c r="D29" s="7" t="n">
        <v>1</v>
      </c>
      <c r="E29" s="6" t="s">
        <v>62</v>
      </c>
      <c r="F29" s="6" t="s">
        <v>87</v>
      </c>
      <c r="G29" s="7" t="n">
        <v>15</v>
      </c>
      <c r="H29" s="7" t="n">
        <v>500</v>
      </c>
      <c r="I29" s="6" t="s">
        <v>394</v>
      </c>
      <c r="J29" s="6" t="s">
        <v>395</v>
      </c>
      <c r="K29" s="6" t="s">
        <v>90</v>
      </c>
      <c r="L29" s="6" t="s">
        <v>91</v>
      </c>
      <c r="M29" s="6" t="s">
        <v>92</v>
      </c>
      <c r="N29" s="6" t="s">
        <v>93</v>
      </c>
      <c r="O29" s="6"/>
      <c r="P29" s="6"/>
      <c r="Q29" s="6"/>
      <c r="R29" s="6"/>
      <c r="S29" s="8" t="s">
        <v>94</v>
      </c>
      <c r="T29" s="6" t="s">
        <v>396</v>
      </c>
      <c r="U29" s="6" t="s">
        <v>397</v>
      </c>
      <c r="V29" s="6" t="s">
        <v>398</v>
      </c>
      <c r="W29" s="9" t="s">
        <v>74</v>
      </c>
      <c r="X29" s="6" t="s">
        <v>75</v>
      </c>
    </row>
    <row r="30" customFormat="false" ht="35.05" hidden="false" customHeight="false" outlineLevel="0" collapsed="false">
      <c r="A30" s="6" t="s">
        <v>399</v>
      </c>
      <c r="B30" s="7" t="n">
        <v>3</v>
      </c>
      <c r="C30" s="6" t="s">
        <v>355</v>
      </c>
      <c r="D30" s="7" t="n">
        <v>1</v>
      </c>
      <c r="E30" s="6" t="s">
        <v>62</v>
      </c>
      <c r="F30" s="6" t="s">
        <v>63</v>
      </c>
      <c r="G30" s="7" t="n">
        <v>15</v>
      </c>
      <c r="H30" s="7" t="n">
        <v>500</v>
      </c>
      <c r="I30" s="6" t="s">
        <v>400</v>
      </c>
      <c r="J30" s="6" t="s">
        <v>401</v>
      </c>
      <c r="K30" s="6" t="s">
        <v>402</v>
      </c>
      <c r="L30" s="6" t="s">
        <v>403</v>
      </c>
      <c r="M30" s="6" t="s">
        <v>404</v>
      </c>
      <c r="N30" s="6" t="s">
        <v>405</v>
      </c>
      <c r="O30" s="6" t="s">
        <v>406</v>
      </c>
      <c r="P30" s="6" t="s">
        <v>406</v>
      </c>
      <c r="Q30" s="6" t="s">
        <v>407</v>
      </c>
      <c r="R30" s="6" t="s">
        <v>408</v>
      </c>
      <c r="S30" s="8" t="s">
        <v>210</v>
      </c>
      <c r="T30" s="6" t="s">
        <v>409</v>
      </c>
      <c r="U30" s="6" t="s">
        <v>410</v>
      </c>
      <c r="V30" s="6" t="s">
        <v>411</v>
      </c>
      <c r="W30" s="9" t="s">
        <v>74</v>
      </c>
      <c r="X30" s="6" t="s">
        <v>75</v>
      </c>
    </row>
    <row r="31" customFormat="false" ht="46.25" hidden="false" customHeight="false" outlineLevel="0" collapsed="false">
      <c r="A31" s="6" t="s">
        <v>412</v>
      </c>
      <c r="B31" s="7" t="n">
        <v>3</v>
      </c>
      <c r="C31" s="6" t="s">
        <v>355</v>
      </c>
      <c r="D31" s="7" t="n">
        <v>2</v>
      </c>
      <c r="E31" s="6" t="s">
        <v>120</v>
      </c>
      <c r="F31" s="6" t="s">
        <v>63</v>
      </c>
      <c r="G31" s="7" t="n">
        <v>20</v>
      </c>
      <c r="H31" s="7" t="n">
        <v>750</v>
      </c>
      <c r="I31" s="6" t="s">
        <v>413</v>
      </c>
      <c r="J31" s="6" t="s">
        <v>414</v>
      </c>
      <c r="K31" s="6" t="s">
        <v>415</v>
      </c>
      <c r="L31" s="6" t="s">
        <v>416</v>
      </c>
      <c r="M31" s="6" t="s">
        <v>417</v>
      </c>
      <c r="N31" s="6" t="s">
        <v>418</v>
      </c>
      <c r="O31" s="6" t="s">
        <v>419</v>
      </c>
      <c r="P31" s="6" t="s">
        <v>420</v>
      </c>
      <c r="Q31" s="6" t="s">
        <v>421</v>
      </c>
      <c r="R31" s="6" t="s">
        <v>422</v>
      </c>
      <c r="S31" s="8" t="s">
        <v>70</v>
      </c>
      <c r="T31" s="6" t="s">
        <v>423</v>
      </c>
      <c r="U31" s="6" t="s">
        <v>424</v>
      </c>
      <c r="V31" s="6" t="s">
        <v>425</v>
      </c>
      <c r="W31" s="9" t="s">
        <v>74</v>
      </c>
      <c r="X31" s="6" t="s">
        <v>75</v>
      </c>
    </row>
    <row r="32" customFormat="false" ht="35.05" hidden="false" customHeight="false" outlineLevel="0" collapsed="false">
      <c r="A32" s="6" t="s">
        <v>426</v>
      </c>
      <c r="B32" s="7" t="n">
        <v>3</v>
      </c>
      <c r="C32" s="6" t="s">
        <v>355</v>
      </c>
      <c r="D32" s="7" t="n">
        <v>2</v>
      </c>
      <c r="E32" s="6" t="s">
        <v>120</v>
      </c>
      <c r="F32" s="6" t="s">
        <v>63</v>
      </c>
      <c r="G32" s="7" t="n">
        <v>20</v>
      </c>
      <c r="H32" s="7" t="n">
        <v>750</v>
      </c>
      <c r="I32" s="6" t="s">
        <v>427</v>
      </c>
      <c r="J32" s="6" t="s">
        <v>428</v>
      </c>
      <c r="K32" s="6" t="s">
        <v>429</v>
      </c>
      <c r="L32" s="6" t="s">
        <v>430</v>
      </c>
      <c r="M32" s="6" t="s">
        <v>431</v>
      </c>
      <c r="N32" s="6" t="s">
        <v>432</v>
      </c>
      <c r="O32" s="6" t="s">
        <v>433</v>
      </c>
      <c r="P32" s="6" t="s">
        <v>434</v>
      </c>
      <c r="Q32" s="6" t="s">
        <v>435</v>
      </c>
      <c r="R32" s="6" t="s">
        <v>436</v>
      </c>
      <c r="S32" s="8" t="s">
        <v>70</v>
      </c>
      <c r="T32" s="6" t="s">
        <v>437</v>
      </c>
      <c r="U32" s="6" t="s">
        <v>438</v>
      </c>
      <c r="V32" s="6" t="s">
        <v>392</v>
      </c>
      <c r="W32" s="9" t="s">
        <v>74</v>
      </c>
      <c r="X32" s="6" t="s">
        <v>75</v>
      </c>
    </row>
    <row r="33" customFormat="false" ht="35.05" hidden="false" customHeight="false" outlineLevel="0" collapsed="false">
      <c r="A33" s="6" t="s">
        <v>439</v>
      </c>
      <c r="B33" s="7" t="n">
        <v>3</v>
      </c>
      <c r="C33" s="6" t="s">
        <v>355</v>
      </c>
      <c r="D33" s="7" t="n">
        <v>2</v>
      </c>
      <c r="E33" s="6" t="s">
        <v>120</v>
      </c>
      <c r="F33" s="6" t="s">
        <v>63</v>
      </c>
      <c r="G33" s="7" t="n">
        <v>20</v>
      </c>
      <c r="H33" s="7" t="n">
        <v>750</v>
      </c>
      <c r="I33" s="6" t="s">
        <v>440</v>
      </c>
      <c r="J33" s="6" t="s">
        <v>441</v>
      </c>
      <c r="K33" s="6" t="s">
        <v>292</v>
      </c>
      <c r="L33" s="6" t="s">
        <v>292</v>
      </c>
      <c r="M33" s="6" t="s">
        <v>293</v>
      </c>
      <c r="N33" s="6" t="s">
        <v>293</v>
      </c>
      <c r="O33" s="6" t="s">
        <v>295</v>
      </c>
      <c r="P33" s="6" t="s">
        <v>295</v>
      </c>
      <c r="Q33" s="6" t="s">
        <v>294</v>
      </c>
      <c r="R33" s="6" t="s">
        <v>294</v>
      </c>
      <c r="S33" s="8" t="s">
        <v>70</v>
      </c>
      <c r="T33" s="6" t="s">
        <v>442</v>
      </c>
      <c r="U33" s="6" t="s">
        <v>443</v>
      </c>
      <c r="V33" s="6" t="s">
        <v>444</v>
      </c>
      <c r="W33" s="9" t="s">
        <v>74</v>
      </c>
      <c r="X33" s="6" t="s">
        <v>75</v>
      </c>
    </row>
    <row r="34" customFormat="false" ht="35.05" hidden="false" customHeight="false" outlineLevel="0" collapsed="false">
      <c r="A34" s="6" t="s">
        <v>445</v>
      </c>
      <c r="B34" s="7" t="n">
        <v>3</v>
      </c>
      <c r="C34" s="6" t="s">
        <v>355</v>
      </c>
      <c r="D34" s="7" t="n">
        <v>2</v>
      </c>
      <c r="E34" s="6" t="s">
        <v>120</v>
      </c>
      <c r="F34" s="6" t="s">
        <v>63</v>
      </c>
      <c r="G34" s="7" t="n">
        <v>20</v>
      </c>
      <c r="H34" s="7" t="n">
        <v>750</v>
      </c>
      <c r="I34" s="6" t="s">
        <v>446</v>
      </c>
      <c r="J34" s="6" t="s">
        <v>447</v>
      </c>
      <c r="K34" s="6" t="s">
        <v>448</v>
      </c>
      <c r="L34" s="6" t="s">
        <v>449</v>
      </c>
      <c r="M34" s="6" t="s">
        <v>450</v>
      </c>
      <c r="N34" s="6" t="s">
        <v>451</v>
      </c>
      <c r="O34" s="6" t="s">
        <v>452</v>
      </c>
      <c r="P34" s="6" t="s">
        <v>453</v>
      </c>
      <c r="Q34" s="6" t="s">
        <v>454</v>
      </c>
      <c r="R34" s="6" t="s">
        <v>455</v>
      </c>
      <c r="S34" s="8" t="s">
        <v>70</v>
      </c>
      <c r="T34" s="6" t="s">
        <v>456</v>
      </c>
      <c r="U34" s="6" t="s">
        <v>457</v>
      </c>
      <c r="V34" s="6" t="s">
        <v>458</v>
      </c>
      <c r="W34" s="9" t="s">
        <v>74</v>
      </c>
      <c r="X34" s="6" t="s">
        <v>75</v>
      </c>
    </row>
    <row r="35" customFormat="false" ht="79.85" hidden="false" customHeight="false" outlineLevel="0" collapsed="false">
      <c r="A35" s="6" t="s">
        <v>459</v>
      </c>
      <c r="B35" s="7" t="n">
        <v>3</v>
      </c>
      <c r="C35" s="6" t="s">
        <v>355</v>
      </c>
      <c r="D35" s="7" t="n">
        <v>3</v>
      </c>
      <c r="E35" s="6" t="s">
        <v>172</v>
      </c>
      <c r="F35" s="6" t="s">
        <v>63</v>
      </c>
      <c r="G35" s="7" t="n">
        <v>25</v>
      </c>
      <c r="H35" s="7" t="n">
        <v>1000</v>
      </c>
      <c r="I35" s="6" t="s">
        <v>460</v>
      </c>
      <c r="J35" s="6" t="s">
        <v>461</v>
      </c>
      <c r="K35" s="6" t="s">
        <v>462</v>
      </c>
      <c r="L35" s="6" t="s">
        <v>463</v>
      </c>
      <c r="M35" s="6" t="s">
        <v>464</v>
      </c>
      <c r="N35" s="6" t="s">
        <v>465</v>
      </c>
      <c r="O35" s="6" t="s">
        <v>466</v>
      </c>
      <c r="P35" s="6" t="s">
        <v>467</v>
      </c>
      <c r="Q35" s="6" t="s">
        <v>468</v>
      </c>
      <c r="R35" s="6" t="s">
        <v>469</v>
      </c>
      <c r="S35" s="8" t="s">
        <v>70</v>
      </c>
      <c r="T35" s="6" t="s">
        <v>470</v>
      </c>
      <c r="U35" s="6" t="s">
        <v>471</v>
      </c>
      <c r="V35" s="6" t="s">
        <v>472</v>
      </c>
      <c r="W35" s="9" t="s">
        <v>74</v>
      </c>
      <c r="X35" s="6" t="s">
        <v>75</v>
      </c>
    </row>
    <row r="36" customFormat="false" ht="35.05" hidden="false" customHeight="false" outlineLevel="0" collapsed="false">
      <c r="A36" s="6" t="s">
        <v>473</v>
      </c>
      <c r="B36" s="7" t="n">
        <v>3</v>
      </c>
      <c r="C36" s="6" t="s">
        <v>355</v>
      </c>
      <c r="D36" s="7" t="n">
        <v>3</v>
      </c>
      <c r="E36" s="6" t="s">
        <v>172</v>
      </c>
      <c r="F36" s="6" t="s">
        <v>63</v>
      </c>
      <c r="G36" s="7" t="n">
        <v>25</v>
      </c>
      <c r="H36" s="7" t="n">
        <v>1000</v>
      </c>
      <c r="I36" s="6" t="s">
        <v>474</v>
      </c>
      <c r="J36" s="6" t="s">
        <v>475</v>
      </c>
      <c r="K36" s="6" t="s">
        <v>476</v>
      </c>
      <c r="L36" s="6" t="s">
        <v>477</v>
      </c>
      <c r="M36" s="6" t="s">
        <v>478</v>
      </c>
      <c r="N36" s="6" t="s">
        <v>479</v>
      </c>
      <c r="O36" s="6" t="s">
        <v>480</v>
      </c>
      <c r="P36" s="6" t="s">
        <v>481</v>
      </c>
      <c r="Q36" s="6" t="s">
        <v>482</v>
      </c>
      <c r="R36" s="6" t="s">
        <v>483</v>
      </c>
      <c r="S36" s="8" t="s">
        <v>210</v>
      </c>
      <c r="T36" s="6" t="s">
        <v>484</v>
      </c>
      <c r="U36" s="6" t="s">
        <v>485</v>
      </c>
      <c r="V36" s="6" t="s">
        <v>392</v>
      </c>
      <c r="W36" s="9" t="s">
        <v>74</v>
      </c>
      <c r="X36" s="6" t="s">
        <v>75</v>
      </c>
    </row>
    <row r="37" customFormat="false" ht="46.25" hidden="false" customHeight="false" outlineLevel="0" collapsed="false">
      <c r="A37" s="6" t="s">
        <v>486</v>
      </c>
      <c r="B37" s="7" t="n">
        <v>3</v>
      </c>
      <c r="C37" s="6" t="s">
        <v>355</v>
      </c>
      <c r="D37" s="7" t="n">
        <v>3</v>
      </c>
      <c r="E37" s="6" t="s">
        <v>172</v>
      </c>
      <c r="F37" s="6" t="s">
        <v>63</v>
      </c>
      <c r="G37" s="7" t="n">
        <v>25</v>
      </c>
      <c r="H37" s="7" t="n">
        <v>1000</v>
      </c>
      <c r="I37" s="6" t="s">
        <v>487</v>
      </c>
      <c r="J37" s="6" t="s">
        <v>488</v>
      </c>
      <c r="K37" s="6" t="s">
        <v>489</v>
      </c>
      <c r="L37" s="6" t="s">
        <v>490</v>
      </c>
      <c r="M37" s="6" t="s">
        <v>491</v>
      </c>
      <c r="N37" s="6" t="s">
        <v>492</v>
      </c>
      <c r="O37" s="6" t="s">
        <v>493</v>
      </c>
      <c r="P37" s="6" t="s">
        <v>494</v>
      </c>
      <c r="Q37" s="6" t="s">
        <v>495</v>
      </c>
      <c r="R37" s="6" t="s">
        <v>496</v>
      </c>
      <c r="S37" s="8" t="s">
        <v>70</v>
      </c>
      <c r="T37" s="6" t="s">
        <v>497</v>
      </c>
      <c r="U37" s="6" t="s">
        <v>498</v>
      </c>
      <c r="V37" s="6" t="s">
        <v>444</v>
      </c>
      <c r="W37" s="9" t="s">
        <v>74</v>
      </c>
      <c r="X37" s="6" t="s">
        <v>75</v>
      </c>
    </row>
    <row r="38" customFormat="false" ht="35.05" hidden="false" customHeight="false" outlineLevel="0" collapsed="false">
      <c r="A38" s="6" t="s">
        <v>499</v>
      </c>
      <c r="B38" s="7" t="n">
        <v>4</v>
      </c>
      <c r="C38" s="6" t="s">
        <v>500</v>
      </c>
      <c r="D38" s="7" t="n">
        <v>1</v>
      </c>
      <c r="E38" s="6" t="s">
        <v>62</v>
      </c>
      <c r="F38" s="6" t="s">
        <v>63</v>
      </c>
      <c r="G38" s="7" t="n">
        <v>15</v>
      </c>
      <c r="H38" s="7" t="n">
        <v>500</v>
      </c>
      <c r="I38" s="6" t="s">
        <v>501</v>
      </c>
      <c r="J38" s="6" t="s">
        <v>502</v>
      </c>
      <c r="K38" s="6" t="s">
        <v>141</v>
      </c>
      <c r="L38" s="6" t="s">
        <v>141</v>
      </c>
      <c r="M38" s="6" t="s">
        <v>137</v>
      </c>
      <c r="N38" s="6" t="s">
        <v>137</v>
      </c>
      <c r="O38" s="6" t="s">
        <v>360</v>
      </c>
      <c r="P38" s="6" t="s">
        <v>360</v>
      </c>
      <c r="Q38" s="6" t="s">
        <v>361</v>
      </c>
      <c r="R38" s="6" t="s">
        <v>361</v>
      </c>
      <c r="S38" s="8" t="s">
        <v>94</v>
      </c>
      <c r="T38" s="6" t="s">
        <v>503</v>
      </c>
      <c r="U38" s="6" t="s">
        <v>504</v>
      </c>
      <c r="V38" s="6" t="s">
        <v>505</v>
      </c>
      <c r="W38" s="9" t="s">
        <v>74</v>
      </c>
      <c r="X38" s="6" t="s">
        <v>75</v>
      </c>
    </row>
    <row r="39" customFormat="false" ht="35.05" hidden="false" customHeight="false" outlineLevel="0" collapsed="false">
      <c r="A39" s="6" t="s">
        <v>506</v>
      </c>
      <c r="B39" s="7" t="n">
        <v>4</v>
      </c>
      <c r="C39" s="6" t="s">
        <v>500</v>
      </c>
      <c r="D39" s="7" t="n">
        <v>1</v>
      </c>
      <c r="E39" s="6" t="s">
        <v>62</v>
      </c>
      <c r="F39" s="6" t="s">
        <v>63</v>
      </c>
      <c r="G39" s="7" t="n">
        <v>15</v>
      </c>
      <c r="H39" s="7" t="n">
        <v>500</v>
      </c>
      <c r="I39" s="6" t="s">
        <v>507</v>
      </c>
      <c r="J39" s="6" t="s">
        <v>508</v>
      </c>
      <c r="K39" s="6" t="s">
        <v>509</v>
      </c>
      <c r="L39" s="6" t="s">
        <v>510</v>
      </c>
      <c r="M39" s="6" t="s">
        <v>511</v>
      </c>
      <c r="N39" s="6" t="s">
        <v>512</v>
      </c>
      <c r="O39" s="6" t="s">
        <v>513</v>
      </c>
      <c r="P39" s="6" t="s">
        <v>514</v>
      </c>
      <c r="Q39" s="6" t="s">
        <v>515</v>
      </c>
      <c r="R39" s="6" t="s">
        <v>516</v>
      </c>
      <c r="S39" s="8" t="s">
        <v>70</v>
      </c>
      <c r="T39" s="6" t="s">
        <v>517</v>
      </c>
      <c r="U39" s="6" t="s">
        <v>518</v>
      </c>
      <c r="V39" s="6" t="s">
        <v>519</v>
      </c>
      <c r="W39" s="9" t="s">
        <v>74</v>
      </c>
      <c r="X39" s="6" t="s">
        <v>75</v>
      </c>
    </row>
    <row r="40" customFormat="false" ht="35.05" hidden="false" customHeight="false" outlineLevel="0" collapsed="false">
      <c r="A40" s="6" t="s">
        <v>520</v>
      </c>
      <c r="B40" s="7" t="n">
        <v>4</v>
      </c>
      <c r="C40" s="6" t="s">
        <v>500</v>
      </c>
      <c r="D40" s="7" t="n">
        <v>1</v>
      </c>
      <c r="E40" s="6" t="s">
        <v>62</v>
      </c>
      <c r="F40" s="6" t="s">
        <v>63</v>
      </c>
      <c r="G40" s="7" t="n">
        <v>15</v>
      </c>
      <c r="H40" s="7" t="n">
        <v>500</v>
      </c>
      <c r="I40" s="6" t="s">
        <v>521</v>
      </c>
      <c r="J40" s="6" t="s">
        <v>522</v>
      </c>
      <c r="K40" s="6" t="s">
        <v>523</v>
      </c>
      <c r="L40" s="6" t="s">
        <v>524</v>
      </c>
      <c r="M40" s="6" t="s">
        <v>525</v>
      </c>
      <c r="N40" s="6" t="s">
        <v>434</v>
      </c>
      <c r="O40" s="6" t="s">
        <v>526</v>
      </c>
      <c r="P40" s="6" t="s">
        <v>527</v>
      </c>
      <c r="Q40" s="6" t="s">
        <v>528</v>
      </c>
      <c r="R40" s="6" t="s">
        <v>529</v>
      </c>
      <c r="S40" s="8" t="s">
        <v>94</v>
      </c>
      <c r="T40" s="6" t="s">
        <v>530</v>
      </c>
      <c r="U40" s="6" t="s">
        <v>531</v>
      </c>
      <c r="V40" s="6" t="s">
        <v>532</v>
      </c>
      <c r="W40" s="9" t="s">
        <v>74</v>
      </c>
      <c r="X40" s="6" t="s">
        <v>75</v>
      </c>
    </row>
    <row r="41" customFormat="false" ht="23.85" hidden="false" customHeight="false" outlineLevel="0" collapsed="false">
      <c r="A41" s="6" t="s">
        <v>533</v>
      </c>
      <c r="B41" s="7" t="n">
        <v>4</v>
      </c>
      <c r="C41" s="6" t="s">
        <v>500</v>
      </c>
      <c r="D41" s="7" t="n">
        <v>1</v>
      </c>
      <c r="E41" s="6" t="s">
        <v>62</v>
      </c>
      <c r="F41" s="6" t="s">
        <v>87</v>
      </c>
      <c r="G41" s="7" t="n">
        <v>15</v>
      </c>
      <c r="H41" s="7" t="n">
        <v>500</v>
      </c>
      <c r="I41" s="6" t="s">
        <v>534</v>
      </c>
      <c r="J41" s="6" t="s">
        <v>535</v>
      </c>
      <c r="K41" s="6" t="s">
        <v>90</v>
      </c>
      <c r="L41" s="6" t="s">
        <v>91</v>
      </c>
      <c r="M41" s="6" t="s">
        <v>92</v>
      </c>
      <c r="N41" s="6" t="s">
        <v>93</v>
      </c>
      <c r="O41" s="6"/>
      <c r="P41" s="6"/>
      <c r="Q41" s="6"/>
      <c r="R41" s="6"/>
      <c r="S41" s="8" t="s">
        <v>94</v>
      </c>
      <c r="T41" s="6" t="s">
        <v>536</v>
      </c>
      <c r="U41" s="6" t="s">
        <v>537</v>
      </c>
      <c r="V41" s="6" t="s">
        <v>170</v>
      </c>
      <c r="W41" s="9" t="s">
        <v>74</v>
      </c>
      <c r="X41" s="6" t="s">
        <v>75</v>
      </c>
    </row>
    <row r="42" customFormat="false" ht="23.85" hidden="false" customHeight="false" outlineLevel="0" collapsed="false">
      <c r="A42" s="6" t="s">
        <v>538</v>
      </c>
      <c r="B42" s="7" t="n">
        <v>4</v>
      </c>
      <c r="C42" s="6" t="s">
        <v>500</v>
      </c>
      <c r="D42" s="7" t="n">
        <v>1</v>
      </c>
      <c r="E42" s="6" t="s">
        <v>62</v>
      </c>
      <c r="F42" s="6" t="s">
        <v>63</v>
      </c>
      <c r="G42" s="7" t="n">
        <v>15</v>
      </c>
      <c r="H42" s="7" t="n">
        <v>500</v>
      </c>
      <c r="I42" s="6" t="s">
        <v>539</v>
      </c>
      <c r="J42" s="6" t="s">
        <v>540</v>
      </c>
      <c r="K42" s="6" t="s">
        <v>541</v>
      </c>
      <c r="L42" s="6" t="s">
        <v>542</v>
      </c>
      <c r="M42" s="6" t="s">
        <v>543</v>
      </c>
      <c r="N42" s="6" t="s">
        <v>544</v>
      </c>
      <c r="O42" s="6" t="s">
        <v>545</v>
      </c>
      <c r="P42" s="6" t="s">
        <v>546</v>
      </c>
      <c r="Q42" s="6" t="s">
        <v>547</v>
      </c>
      <c r="R42" s="6" t="s">
        <v>548</v>
      </c>
      <c r="S42" s="8" t="s">
        <v>94</v>
      </c>
      <c r="T42" s="6" t="s">
        <v>549</v>
      </c>
      <c r="U42" s="6" t="s">
        <v>550</v>
      </c>
      <c r="V42" s="6" t="s">
        <v>551</v>
      </c>
      <c r="W42" s="9" t="s">
        <v>74</v>
      </c>
      <c r="X42" s="6" t="s">
        <v>75</v>
      </c>
    </row>
    <row r="43" customFormat="false" ht="46.25" hidden="false" customHeight="false" outlineLevel="0" collapsed="false">
      <c r="A43" s="6" t="s">
        <v>552</v>
      </c>
      <c r="B43" s="7" t="n">
        <v>4</v>
      </c>
      <c r="C43" s="6" t="s">
        <v>500</v>
      </c>
      <c r="D43" s="7" t="n">
        <v>2</v>
      </c>
      <c r="E43" s="6" t="s">
        <v>120</v>
      </c>
      <c r="F43" s="6" t="s">
        <v>63</v>
      </c>
      <c r="G43" s="7" t="n">
        <v>20</v>
      </c>
      <c r="H43" s="7" t="n">
        <v>750</v>
      </c>
      <c r="I43" s="6" t="s">
        <v>553</v>
      </c>
      <c r="J43" s="6" t="s">
        <v>554</v>
      </c>
      <c r="K43" s="6" t="s">
        <v>555</v>
      </c>
      <c r="L43" s="6" t="s">
        <v>556</v>
      </c>
      <c r="M43" s="6" t="s">
        <v>293</v>
      </c>
      <c r="N43" s="6" t="s">
        <v>293</v>
      </c>
      <c r="O43" s="6" t="s">
        <v>294</v>
      </c>
      <c r="P43" s="6" t="s">
        <v>294</v>
      </c>
      <c r="Q43" s="6" t="s">
        <v>295</v>
      </c>
      <c r="R43" s="6" t="s">
        <v>295</v>
      </c>
      <c r="S43" s="8" t="s">
        <v>94</v>
      </c>
      <c r="T43" s="6" t="s">
        <v>557</v>
      </c>
      <c r="U43" s="6" t="s">
        <v>558</v>
      </c>
      <c r="V43" s="6" t="s">
        <v>559</v>
      </c>
      <c r="W43" s="9" t="s">
        <v>74</v>
      </c>
      <c r="X43" s="6" t="s">
        <v>75</v>
      </c>
    </row>
    <row r="44" customFormat="false" ht="35.05" hidden="false" customHeight="false" outlineLevel="0" collapsed="false">
      <c r="A44" s="6" t="s">
        <v>560</v>
      </c>
      <c r="B44" s="7" t="n">
        <v>4</v>
      </c>
      <c r="C44" s="6" t="s">
        <v>500</v>
      </c>
      <c r="D44" s="7" t="n">
        <v>2</v>
      </c>
      <c r="E44" s="6" t="s">
        <v>120</v>
      </c>
      <c r="F44" s="6" t="s">
        <v>63</v>
      </c>
      <c r="G44" s="7" t="n">
        <v>20</v>
      </c>
      <c r="H44" s="7" t="n">
        <v>750</v>
      </c>
      <c r="I44" s="6" t="s">
        <v>561</v>
      </c>
      <c r="J44" s="6" t="s">
        <v>562</v>
      </c>
      <c r="K44" s="6" t="s">
        <v>563</v>
      </c>
      <c r="L44" s="6" t="s">
        <v>564</v>
      </c>
      <c r="M44" s="6" t="s">
        <v>565</v>
      </c>
      <c r="N44" s="6" t="s">
        <v>566</v>
      </c>
      <c r="O44" s="6" t="s">
        <v>567</v>
      </c>
      <c r="P44" s="6" t="s">
        <v>568</v>
      </c>
      <c r="Q44" s="6" t="s">
        <v>569</v>
      </c>
      <c r="R44" s="6" t="s">
        <v>570</v>
      </c>
      <c r="S44" s="8" t="s">
        <v>70</v>
      </c>
      <c r="T44" s="6" t="s">
        <v>571</v>
      </c>
      <c r="U44" s="6" t="s">
        <v>572</v>
      </c>
      <c r="V44" s="6" t="s">
        <v>532</v>
      </c>
      <c r="W44" s="9" t="s">
        <v>74</v>
      </c>
      <c r="X44" s="6" t="s">
        <v>75</v>
      </c>
    </row>
    <row r="45" customFormat="false" ht="35.05" hidden="false" customHeight="false" outlineLevel="0" collapsed="false">
      <c r="A45" s="6" t="s">
        <v>573</v>
      </c>
      <c r="B45" s="7" t="n">
        <v>4</v>
      </c>
      <c r="C45" s="6" t="s">
        <v>500</v>
      </c>
      <c r="D45" s="7" t="n">
        <v>2</v>
      </c>
      <c r="E45" s="6" t="s">
        <v>120</v>
      </c>
      <c r="F45" s="6" t="s">
        <v>63</v>
      </c>
      <c r="G45" s="7" t="n">
        <v>20</v>
      </c>
      <c r="H45" s="7" t="n">
        <v>750</v>
      </c>
      <c r="I45" s="6" t="s">
        <v>574</v>
      </c>
      <c r="J45" s="6" t="s">
        <v>575</v>
      </c>
      <c r="K45" s="6" t="s">
        <v>576</v>
      </c>
      <c r="L45" s="6" t="s">
        <v>577</v>
      </c>
      <c r="M45" s="6" t="s">
        <v>578</v>
      </c>
      <c r="N45" s="6" t="s">
        <v>579</v>
      </c>
      <c r="O45" s="6" t="s">
        <v>580</v>
      </c>
      <c r="P45" s="6" t="s">
        <v>581</v>
      </c>
      <c r="Q45" s="6" t="s">
        <v>582</v>
      </c>
      <c r="R45" s="6" t="s">
        <v>583</v>
      </c>
      <c r="S45" s="8" t="s">
        <v>70</v>
      </c>
      <c r="T45" s="6" t="s">
        <v>584</v>
      </c>
      <c r="U45" s="6" t="s">
        <v>585</v>
      </c>
      <c r="V45" s="6" t="s">
        <v>586</v>
      </c>
      <c r="W45" s="9" t="s">
        <v>74</v>
      </c>
      <c r="X45" s="6" t="s">
        <v>75</v>
      </c>
    </row>
    <row r="46" customFormat="false" ht="46.25" hidden="false" customHeight="false" outlineLevel="0" collapsed="false">
      <c r="A46" s="6" t="s">
        <v>587</v>
      </c>
      <c r="B46" s="7" t="n">
        <v>4</v>
      </c>
      <c r="C46" s="6" t="s">
        <v>500</v>
      </c>
      <c r="D46" s="7" t="n">
        <v>2</v>
      </c>
      <c r="E46" s="6" t="s">
        <v>120</v>
      </c>
      <c r="F46" s="6" t="s">
        <v>63</v>
      </c>
      <c r="G46" s="7" t="n">
        <v>20</v>
      </c>
      <c r="H46" s="7" t="n">
        <v>750</v>
      </c>
      <c r="I46" s="6" t="s">
        <v>588</v>
      </c>
      <c r="J46" s="6" t="s">
        <v>589</v>
      </c>
      <c r="K46" s="6" t="s">
        <v>590</v>
      </c>
      <c r="L46" s="6" t="s">
        <v>591</v>
      </c>
      <c r="M46" s="6" t="s">
        <v>592</v>
      </c>
      <c r="N46" s="6" t="s">
        <v>593</v>
      </c>
      <c r="O46" s="6" t="s">
        <v>594</v>
      </c>
      <c r="P46" s="6" t="s">
        <v>595</v>
      </c>
      <c r="Q46" s="6" t="s">
        <v>596</v>
      </c>
      <c r="R46" s="6" t="s">
        <v>597</v>
      </c>
      <c r="S46" s="8" t="s">
        <v>70</v>
      </c>
      <c r="T46" s="6" t="s">
        <v>598</v>
      </c>
      <c r="U46" s="6" t="s">
        <v>599</v>
      </c>
      <c r="V46" s="6" t="s">
        <v>600</v>
      </c>
      <c r="W46" s="9" t="s">
        <v>74</v>
      </c>
      <c r="X46" s="6" t="s">
        <v>75</v>
      </c>
    </row>
    <row r="47" customFormat="false" ht="68.65" hidden="false" customHeight="false" outlineLevel="0" collapsed="false">
      <c r="A47" s="6" t="s">
        <v>601</v>
      </c>
      <c r="B47" s="7" t="n">
        <v>4</v>
      </c>
      <c r="C47" s="6" t="s">
        <v>500</v>
      </c>
      <c r="D47" s="7" t="n">
        <v>3</v>
      </c>
      <c r="E47" s="6" t="s">
        <v>172</v>
      </c>
      <c r="F47" s="6" t="s">
        <v>63</v>
      </c>
      <c r="G47" s="7" t="n">
        <v>25</v>
      </c>
      <c r="H47" s="7" t="n">
        <v>1000</v>
      </c>
      <c r="I47" s="6" t="s">
        <v>602</v>
      </c>
      <c r="J47" s="6" t="s">
        <v>603</v>
      </c>
      <c r="K47" s="6" t="s">
        <v>604</v>
      </c>
      <c r="L47" s="6" t="s">
        <v>605</v>
      </c>
      <c r="M47" s="6" t="s">
        <v>606</v>
      </c>
      <c r="N47" s="6" t="s">
        <v>607</v>
      </c>
      <c r="O47" s="6" t="s">
        <v>608</v>
      </c>
      <c r="P47" s="6" t="s">
        <v>609</v>
      </c>
      <c r="Q47" s="6" t="s">
        <v>610</v>
      </c>
      <c r="R47" s="6" t="s">
        <v>611</v>
      </c>
      <c r="S47" s="8" t="s">
        <v>210</v>
      </c>
      <c r="T47" s="6" t="s">
        <v>612</v>
      </c>
      <c r="U47" s="6" t="s">
        <v>613</v>
      </c>
      <c r="V47" s="6" t="s">
        <v>614</v>
      </c>
      <c r="W47" s="9" t="s">
        <v>74</v>
      </c>
      <c r="X47" s="6" t="s">
        <v>75</v>
      </c>
    </row>
    <row r="48" customFormat="false" ht="57.45" hidden="false" customHeight="false" outlineLevel="0" collapsed="false">
      <c r="A48" s="6" t="s">
        <v>615</v>
      </c>
      <c r="B48" s="7" t="n">
        <v>4</v>
      </c>
      <c r="C48" s="6" t="s">
        <v>500</v>
      </c>
      <c r="D48" s="7" t="n">
        <v>3</v>
      </c>
      <c r="E48" s="6" t="s">
        <v>172</v>
      </c>
      <c r="F48" s="6" t="s">
        <v>63</v>
      </c>
      <c r="G48" s="7" t="n">
        <v>25</v>
      </c>
      <c r="H48" s="7" t="n">
        <v>1000</v>
      </c>
      <c r="I48" s="6" t="s">
        <v>616</v>
      </c>
      <c r="J48" s="6" t="s">
        <v>617</v>
      </c>
      <c r="K48" s="6" t="s">
        <v>141</v>
      </c>
      <c r="L48" s="6" t="s">
        <v>141</v>
      </c>
      <c r="M48" s="6" t="s">
        <v>137</v>
      </c>
      <c r="N48" s="6" t="s">
        <v>137</v>
      </c>
      <c r="O48" s="6" t="s">
        <v>360</v>
      </c>
      <c r="P48" s="6" t="s">
        <v>360</v>
      </c>
      <c r="Q48" s="6" t="s">
        <v>361</v>
      </c>
      <c r="R48" s="6" t="s">
        <v>361</v>
      </c>
      <c r="S48" s="8" t="s">
        <v>70</v>
      </c>
      <c r="T48" s="6" t="s">
        <v>618</v>
      </c>
      <c r="U48" s="6" t="s">
        <v>619</v>
      </c>
      <c r="V48" s="6" t="s">
        <v>620</v>
      </c>
      <c r="W48" s="9" t="s">
        <v>74</v>
      </c>
      <c r="X48" s="6" t="s">
        <v>75</v>
      </c>
    </row>
    <row r="49" customFormat="false" ht="57.45" hidden="false" customHeight="false" outlineLevel="0" collapsed="false">
      <c r="A49" s="6" t="s">
        <v>621</v>
      </c>
      <c r="B49" s="7" t="n">
        <v>4</v>
      </c>
      <c r="C49" s="6" t="s">
        <v>500</v>
      </c>
      <c r="D49" s="7" t="n">
        <v>3</v>
      </c>
      <c r="E49" s="6" t="s">
        <v>172</v>
      </c>
      <c r="F49" s="6" t="s">
        <v>63</v>
      </c>
      <c r="G49" s="7" t="n">
        <v>25</v>
      </c>
      <c r="H49" s="7" t="n">
        <v>1000</v>
      </c>
      <c r="I49" s="6" t="s">
        <v>622</v>
      </c>
      <c r="J49" s="6" t="s">
        <v>623</v>
      </c>
      <c r="K49" s="6" t="s">
        <v>624</v>
      </c>
      <c r="L49" s="6" t="s">
        <v>625</v>
      </c>
      <c r="M49" s="6" t="s">
        <v>626</v>
      </c>
      <c r="N49" s="6" t="s">
        <v>627</v>
      </c>
      <c r="O49" s="6" t="s">
        <v>628</v>
      </c>
      <c r="P49" s="6" t="s">
        <v>629</v>
      </c>
      <c r="Q49" s="6" t="s">
        <v>630</v>
      </c>
      <c r="R49" s="6" t="s">
        <v>631</v>
      </c>
      <c r="S49" s="8" t="s">
        <v>70</v>
      </c>
      <c r="T49" s="6" t="s">
        <v>632</v>
      </c>
      <c r="U49" s="6" t="s">
        <v>633</v>
      </c>
      <c r="V49" s="6" t="s">
        <v>559</v>
      </c>
      <c r="W49" s="9" t="s">
        <v>74</v>
      </c>
      <c r="X49" s="6" t="s">
        <v>75</v>
      </c>
    </row>
    <row r="50" customFormat="false" ht="23.85" hidden="false" customHeight="false" outlineLevel="0" collapsed="false">
      <c r="A50" s="6" t="s">
        <v>634</v>
      </c>
      <c r="B50" s="7" t="n">
        <v>5</v>
      </c>
      <c r="C50" s="6" t="s">
        <v>635</v>
      </c>
      <c r="D50" s="7" t="n">
        <v>1</v>
      </c>
      <c r="E50" s="6" t="s">
        <v>62</v>
      </c>
      <c r="F50" s="6" t="s">
        <v>63</v>
      </c>
      <c r="G50" s="7" t="n">
        <v>15</v>
      </c>
      <c r="H50" s="7" t="n">
        <v>500</v>
      </c>
      <c r="I50" s="6" t="s">
        <v>636</v>
      </c>
      <c r="J50" s="6" t="s">
        <v>637</v>
      </c>
      <c r="K50" s="6" t="s">
        <v>638</v>
      </c>
      <c r="L50" s="6" t="s">
        <v>639</v>
      </c>
      <c r="M50" s="6" t="s">
        <v>640</v>
      </c>
      <c r="N50" s="6" t="s">
        <v>641</v>
      </c>
      <c r="O50" s="6" t="s">
        <v>642</v>
      </c>
      <c r="P50" s="6" t="s">
        <v>643</v>
      </c>
      <c r="Q50" s="6" t="s">
        <v>644</v>
      </c>
      <c r="R50" s="6" t="s">
        <v>645</v>
      </c>
      <c r="S50" s="8" t="s">
        <v>94</v>
      </c>
      <c r="T50" s="6" t="s">
        <v>646</v>
      </c>
      <c r="U50" s="6" t="s">
        <v>647</v>
      </c>
      <c r="V50" s="6" t="s">
        <v>648</v>
      </c>
      <c r="W50" s="9" t="s">
        <v>74</v>
      </c>
      <c r="X50" s="6" t="s">
        <v>75</v>
      </c>
    </row>
    <row r="51" customFormat="false" ht="35.05" hidden="false" customHeight="false" outlineLevel="0" collapsed="false">
      <c r="A51" s="6" t="s">
        <v>649</v>
      </c>
      <c r="B51" s="7" t="n">
        <v>5</v>
      </c>
      <c r="C51" s="6" t="s">
        <v>635</v>
      </c>
      <c r="D51" s="7" t="n">
        <v>1</v>
      </c>
      <c r="E51" s="6" t="s">
        <v>62</v>
      </c>
      <c r="F51" s="6" t="s">
        <v>63</v>
      </c>
      <c r="G51" s="7" t="n">
        <v>15</v>
      </c>
      <c r="H51" s="7" t="n">
        <v>500</v>
      </c>
      <c r="I51" s="6" t="s">
        <v>650</v>
      </c>
      <c r="J51" s="6" t="s">
        <v>651</v>
      </c>
      <c r="K51" s="6" t="s">
        <v>652</v>
      </c>
      <c r="L51" s="6" t="s">
        <v>653</v>
      </c>
      <c r="M51" s="6" t="s">
        <v>654</v>
      </c>
      <c r="N51" s="6" t="s">
        <v>655</v>
      </c>
      <c r="O51" s="6" t="s">
        <v>656</v>
      </c>
      <c r="P51" s="6" t="s">
        <v>657</v>
      </c>
      <c r="Q51" s="6" t="s">
        <v>658</v>
      </c>
      <c r="R51" s="6" t="s">
        <v>659</v>
      </c>
      <c r="S51" s="8" t="s">
        <v>94</v>
      </c>
      <c r="T51" s="6" t="s">
        <v>660</v>
      </c>
      <c r="U51" s="6" t="s">
        <v>661</v>
      </c>
      <c r="V51" s="6" t="s">
        <v>662</v>
      </c>
      <c r="W51" s="9" t="s">
        <v>74</v>
      </c>
      <c r="X51" s="6" t="s">
        <v>75</v>
      </c>
    </row>
    <row r="52" customFormat="false" ht="35.05" hidden="false" customHeight="false" outlineLevel="0" collapsed="false">
      <c r="A52" s="6" t="s">
        <v>663</v>
      </c>
      <c r="B52" s="7" t="n">
        <v>5</v>
      </c>
      <c r="C52" s="6" t="s">
        <v>635</v>
      </c>
      <c r="D52" s="7" t="n">
        <v>1</v>
      </c>
      <c r="E52" s="6" t="s">
        <v>62</v>
      </c>
      <c r="F52" s="6" t="s">
        <v>63</v>
      </c>
      <c r="G52" s="7" t="n">
        <v>15</v>
      </c>
      <c r="H52" s="7" t="n">
        <v>500</v>
      </c>
      <c r="I52" s="6" t="s">
        <v>664</v>
      </c>
      <c r="J52" s="6" t="s">
        <v>665</v>
      </c>
      <c r="K52" s="6" t="s">
        <v>666</v>
      </c>
      <c r="L52" s="6" t="s">
        <v>667</v>
      </c>
      <c r="M52" s="6" t="s">
        <v>668</v>
      </c>
      <c r="N52" s="6" t="s">
        <v>669</v>
      </c>
      <c r="O52" s="6" t="s">
        <v>670</v>
      </c>
      <c r="P52" s="6" t="s">
        <v>671</v>
      </c>
      <c r="Q52" s="6" t="s">
        <v>672</v>
      </c>
      <c r="R52" s="6" t="s">
        <v>673</v>
      </c>
      <c r="S52" s="8" t="s">
        <v>94</v>
      </c>
      <c r="T52" s="6" t="s">
        <v>674</v>
      </c>
      <c r="U52" s="6" t="s">
        <v>675</v>
      </c>
      <c r="V52" s="6" t="s">
        <v>676</v>
      </c>
      <c r="W52" s="9" t="s">
        <v>74</v>
      </c>
      <c r="X52" s="6" t="s">
        <v>75</v>
      </c>
    </row>
    <row r="53" customFormat="false" ht="23.85" hidden="false" customHeight="false" outlineLevel="0" collapsed="false">
      <c r="A53" s="6" t="s">
        <v>677</v>
      </c>
      <c r="B53" s="7" t="n">
        <v>5</v>
      </c>
      <c r="C53" s="6" t="s">
        <v>635</v>
      </c>
      <c r="D53" s="7" t="n">
        <v>1</v>
      </c>
      <c r="E53" s="6" t="s">
        <v>62</v>
      </c>
      <c r="F53" s="6" t="s">
        <v>87</v>
      </c>
      <c r="G53" s="7" t="n">
        <v>15</v>
      </c>
      <c r="H53" s="7" t="n">
        <v>500</v>
      </c>
      <c r="I53" s="6" t="s">
        <v>678</v>
      </c>
      <c r="J53" s="6" t="s">
        <v>679</v>
      </c>
      <c r="K53" s="6" t="s">
        <v>90</v>
      </c>
      <c r="L53" s="6" t="s">
        <v>91</v>
      </c>
      <c r="M53" s="6" t="s">
        <v>92</v>
      </c>
      <c r="N53" s="6" t="s">
        <v>93</v>
      </c>
      <c r="O53" s="6"/>
      <c r="P53" s="6"/>
      <c r="Q53" s="6"/>
      <c r="R53" s="6"/>
      <c r="S53" s="8" t="s">
        <v>94</v>
      </c>
      <c r="T53" s="6" t="s">
        <v>680</v>
      </c>
      <c r="U53" s="6" t="s">
        <v>681</v>
      </c>
      <c r="V53" s="6" t="s">
        <v>682</v>
      </c>
      <c r="W53" s="9" t="s">
        <v>74</v>
      </c>
      <c r="X53" s="6" t="s">
        <v>75</v>
      </c>
    </row>
    <row r="54" customFormat="false" ht="35.05" hidden="false" customHeight="false" outlineLevel="0" collapsed="false">
      <c r="A54" s="6" t="s">
        <v>683</v>
      </c>
      <c r="B54" s="7" t="n">
        <v>5</v>
      </c>
      <c r="C54" s="6" t="s">
        <v>635</v>
      </c>
      <c r="D54" s="7" t="n">
        <v>1</v>
      </c>
      <c r="E54" s="6" t="s">
        <v>62</v>
      </c>
      <c r="F54" s="6" t="s">
        <v>63</v>
      </c>
      <c r="G54" s="7" t="n">
        <v>15</v>
      </c>
      <c r="H54" s="7" t="n">
        <v>500</v>
      </c>
      <c r="I54" s="6" t="s">
        <v>684</v>
      </c>
      <c r="J54" s="6" t="s">
        <v>685</v>
      </c>
      <c r="K54" s="6" t="s">
        <v>686</v>
      </c>
      <c r="L54" s="6" t="s">
        <v>686</v>
      </c>
      <c r="M54" s="6" t="s">
        <v>687</v>
      </c>
      <c r="N54" s="6" t="s">
        <v>687</v>
      </c>
      <c r="O54" s="6" t="s">
        <v>688</v>
      </c>
      <c r="P54" s="6" t="s">
        <v>688</v>
      </c>
      <c r="Q54" s="6" t="s">
        <v>689</v>
      </c>
      <c r="R54" s="6" t="s">
        <v>689</v>
      </c>
      <c r="S54" s="8" t="s">
        <v>70</v>
      </c>
      <c r="T54" s="6" t="s">
        <v>690</v>
      </c>
      <c r="U54" s="6" t="s">
        <v>691</v>
      </c>
      <c r="V54" s="6" t="s">
        <v>692</v>
      </c>
      <c r="W54" s="9" t="s">
        <v>74</v>
      </c>
      <c r="X54" s="6" t="s">
        <v>75</v>
      </c>
    </row>
    <row r="55" customFormat="false" ht="35.05" hidden="false" customHeight="false" outlineLevel="0" collapsed="false">
      <c r="A55" s="6" t="s">
        <v>693</v>
      </c>
      <c r="B55" s="7" t="n">
        <v>5</v>
      </c>
      <c r="C55" s="6" t="s">
        <v>635</v>
      </c>
      <c r="D55" s="7" t="n">
        <v>2</v>
      </c>
      <c r="E55" s="6" t="s">
        <v>120</v>
      </c>
      <c r="F55" s="6" t="s">
        <v>63</v>
      </c>
      <c r="G55" s="7" t="n">
        <v>20</v>
      </c>
      <c r="H55" s="7" t="n">
        <v>750</v>
      </c>
      <c r="I55" s="6" t="s">
        <v>694</v>
      </c>
      <c r="J55" s="6" t="s">
        <v>695</v>
      </c>
      <c r="K55" s="6" t="s">
        <v>696</v>
      </c>
      <c r="L55" s="6" t="s">
        <v>697</v>
      </c>
      <c r="M55" s="6" t="s">
        <v>698</v>
      </c>
      <c r="N55" s="6" t="s">
        <v>699</v>
      </c>
      <c r="O55" s="6" t="s">
        <v>700</v>
      </c>
      <c r="P55" s="6" t="s">
        <v>701</v>
      </c>
      <c r="Q55" s="6" t="s">
        <v>702</v>
      </c>
      <c r="R55" s="6" t="s">
        <v>703</v>
      </c>
      <c r="S55" s="8" t="s">
        <v>94</v>
      </c>
      <c r="T55" s="6" t="s">
        <v>704</v>
      </c>
      <c r="U55" s="6" t="s">
        <v>705</v>
      </c>
      <c r="V55" s="6" t="s">
        <v>706</v>
      </c>
      <c r="W55" s="9" t="s">
        <v>74</v>
      </c>
      <c r="X55" s="6" t="s">
        <v>75</v>
      </c>
    </row>
    <row r="56" customFormat="false" ht="57.45" hidden="false" customHeight="false" outlineLevel="0" collapsed="false">
      <c r="A56" s="6" t="s">
        <v>707</v>
      </c>
      <c r="B56" s="7" t="n">
        <v>5</v>
      </c>
      <c r="C56" s="6" t="s">
        <v>635</v>
      </c>
      <c r="D56" s="7" t="n">
        <v>2</v>
      </c>
      <c r="E56" s="6" t="s">
        <v>120</v>
      </c>
      <c r="F56" s="6" t="s">
        <v>63</v>
      </c>
      <c r="G56" s="7" t="n">
        <v>20</v>
      </c>
      <c r="H56" s="7" t="n">
        <v>750</v>
      </c>
      <c r="I56" s="6" t="s">
        <v>708</v>
      </c>
      <c r="J56" s="6" t="s">
        <v>709</v>
      </c>
      <c r="K56" s="6" t="s">
        <v>710</v>
      </c>
      <c r="L56" s="6" t="s">
        <v>711</v>
      </c>
      <c r="M56" s="6" t="s">
        <v>712</v>
      </c>
      <c r="N56" s="6" t="s">
        <v>713</v>
      </c>
      <c r="O56" s="6" t="s">
        <v>714</v>
      </c>
      <c r="P56" s="6" t="s">
        <v>715</v>
      </c>
      <c r="Q56" s="6" t="s">
        <v>716</v>
      </c>
      <c r="R56" s="6" t="s">
        <v>717</v>
      </c>
      <c r="S56" s="8" t="s">
        <v>94</v>
      </c>
      <c r="T56" s="6" t="s">
        <v>718</v>
      </c>
      <c r="U56" s="6" t="s">
        <v>719</v>
      </c>
      <c r="V56" s="6" t="s">
        <v>662</v>
      </c>
      <c r="W56" s="9" t="s">
        <v>74</v>
      </c>
      <c r="X56" s="6" t="s">
        <v>75</v>
      </c>
    </row>
    <row r="57" customFormat="false" ht="35.05" hidden="false" customHeight="false" outlineLevel="0" collapsed="false">
      <c r="A57" s="6" t="s">
        <v>720</v>
      </c>
      <c r="B57" s="7" t="n">
        <v>5</v>
      </c>
      <c r="C57" s="6" t="s">
        <v>635</v>
      </c>
      <c r="D57" s="7" t="n">
        <v>2</v>
      </c>
      <c r="E57" s="6" t="s">
        <v>120</v>
      </c>
      <c r="F57" s="6" t="s">
        <v>63</v>
      </c>
      <c r="G57" s="7" t="n">
        <v>20</v>
      </c>
      <c r="H57" s="7" t="n">
        <v>750</v>
      </c>
      <c r="I57" s="6" t="s">
        <v>721</v>
      </c>
      <c r="J57" s="6" t="s">
        <v>722</v>
      </c>
      <c r="K57" s="6" t="s">
        <v>723</v>
      </c>
      <c r="L57" s="6" t="s">
        <v>724</v>
      </c>
      <c r="M57" s="6" t="s">
        <v>725</v>
      </c>
      <c r="N57" s="6" t="s">
        <v>726</v>
      </c>
      <c r="O57" s="6" t="s">
        <v>727</v>
      </c>
      <c r="P57" s="6" t="s">
        <v>728</v>
      </c>
      <c r="Q57" s="6" t="s">
        <v>729</v>
      </c>
      <c r="R57" s="6" t="s">
        <v>730</v>
      </c>
      <c r="S57" s="8" t="s">
        <v>70</v>
      </c>
      <c r="T57" s="6" t="s">
        <v>731</v>
      </c>
      <c r="U57" s="6" t="s">
        <v>732</v>
      </c>
      <c r="V57" s="6" t="s">
        <v>648</v>
      </c>
      <c r="W57" s="9" t="s">
        <v>74</v>
      </c>
      <c r="X57" s="6" t="s">
        <v>75</v>
      </c>
    </row>
    <row r="58" customFormat="false" ht="35.05" hidden="false" customHeight="false" outlineLevel="0" collapsed="false">
      <c r="A58" s="6" t="s">
        <v>733</v>
      </c>
      <c r="B58" s="7" t="n">
        <v>5</v>
      </c>
      <c r="C58" s="6" t="s">
        <v>635</v>
      </c>
      <c r="D58" s="7" t="n">
        <v>2</v>
      </c>
      <c r="E58" s="6" t="s">
        <v>120</v>
      </c>
      <c r="F58" s="6" t="s">
        <v>63</v>
      </c>
      <c r="G58" s="7" t="n">
        <v>20</v>
      </c>
      <c r="H58" s="7" t="n">
        <v>750</v>
      </c>
      <c r="I58" s="6" t="s">
        <v>734</v>
      </c>
      <c r="J58" s="6" t="s">
        <v>735</v>
      </c>
      <c r="K58" s="6" t="s">
        <v>736</v>
      </c>
      <c r="L58" s="6" t="s">
        <v>737</v>
      </c>
      <c r="M58" s="6" t="s">
        <v>738</v>
      </c>
      <c r="N58" s="6" t="s">
        <v>739</v>
      </c>
      <c r="O58" s="6" t="s">
        <v>740</v>
      </c>
      <c r="P58" s="6" t="s">
        <v>741</v>
      </c>
      <c r="Q58" s="6" t="s">
        <v>742</v>
      </c>
      <c r="R58" s="6" t="s">
        <v>743</v>
      </c>
      <c r="S58" s="8" t="s">
        <v>70</v>
      </c>
      <c r="T58" s="6" t="s">
        <v>744</v>
      </c>
      <c r="U58" s="6" t="s">
        <v>745</v>
      </c>
      <c r="V58" s="6" t="s">
        <v>746</v>
      </c>
      <c r="W58" s="9" t="s">
        <v>74</v>
      </c>
      <c r="X58" s="6" t="s">
        <v>75</v>
      </c>
    </row>
    <row r="59" customFormat="false" ht="46.25" hidden="false" customHeight="false" outlineLevel="0" collapsed="false">
      <c r="A59" s="6" t="s">
        <v>747</v>
      </c>
      <c r="B59" s="7" t="n">
        <v>5</v>
      </c>
      <c r="C59" s="6" t="s">
        <v>635</v>
      </c>
      <c r="D59" s="7" t="n">
        <v>3</v>
      </c>
      <c r="E59" s="6" t="s">
        <v>172</v>
      </c>
      <c r="F59" s="6" t="s">
        <v>63</v>
      </c>
      <c r="G59" s="7" t="n">
        <v>25</v>
      </c>
      <c r="H59" s="7" t="n">
        <v>1000</v>
      </c>
      <c r="I59" s="6" t="s">
        <v>748</v>
      </c>
      <c r="J59" s="6" t="s">
        <v>749</v>
      </c>
      <c r="K59" s="6" t="s">
        <v>750</v>
      </c>
      <c r="L59" s="6" t="s">
        <v>751</v>
      </c>
      <c r="M59" s="6" t="s">
        <v>752</v>
      </c>
      <c r="N59" s="6" t="s">
        <v>753</v>
      </c>
      <c r="O59" s="6" t="s">
        <v>754</v>
      </c>
      <c r="P59" s="6" t="s">
        <v>755</v>
      </c>
      <c r="Q59" s="6" t="s">
        <v>756</v>
      </c>
      <c r="R59" s="6" t="s">
        <v>757</v>
      </c>
      <c r="S59" s="8" t="s">
        <v>70</v>
      </c>
      <c r="T59" s="6" t="s">
        <v>758</v>
      </c>
      <c r="U59" s="6" t="s">
        <v>759</v>
      </c>
      <c r="V59" s="6" t="s">
        <v>288</v>
      </c>
      <c r="W59" s="9" t="s">
        <v>74</v>
      </c>
      <c r="X59" s="6" t="s">
        <v>75</v>
      </c>
    </row>
    <row r="60" customFormat="false" ht="35.05" hidden="false" customHeight="false" outlineLevel="0" collapsed="false">
      <c r="A60" s="6" t="s">
        <v>760</v>
      </c>
      <c r="B60" s="7" t="n">
        <v>5</v>
      </c>
      <c r="C60" s="6" t="s">
        <v>635</v>
      </c>
      <c r="D60" s="7" t="n">
        <v>3</v>
      </c>
      <c r="E60" s="6" t="s">
        <v>172</v>
      </c>
      <c r="F60" s="6" t="s">
        <v>63</v>
      </c>
      <c r="G60" s="7" t="n">
        <v>25</v>
      </c>
      <c r="H60" s="7" t="n">
        <v>1000</v>
      </c>
      <c r="I60" s="6" t="s">
        <v>761</v>
      </c>
      <c r="J60" s="6" t="s">
        <v>762</v>
      </c>
      <c r="K60" s="6" t="s">
        <v>763</v>
      </c>
      <c r="L60" s="6" t="s">
        <v>764</v>
      </c>
      <c r="M60" s="6" t="s">
        <v>765</v>
      </c>
      <c r="N60" s="6" t="s">
        <v>766</v>
      </c>
      <c r="O60" s="6" t="s">
        <v>767</v>
      </c>
      <c r="P60" s="6" t="s">
        <v>768</v>
      </c>
      <c r="Q60" s="6" t="s">
        <v>769</v>
      </c>
      <c r="R60" s="6" t="s">
        <v>770</v>
      </c>
      <c r="S60" s="8" t="s">
        <v>210</v>
      </c>
      <c r="T60" s="6" t="s">
        <v>771</v>
      </c>
      <c r="U60" s="6" t="s">
        <v>772</v>
      </c>
      <c r="V60" s="6" t="s">
        <v>662</v>
      </c>
      <c r="W60" s="9" t="s">
        <v>74</v>
      </c>
      <c r="X60" s="6" t="s">
        <v>75</v>
      </c>
    </row>
    <row r="61" customFormat="false" ht="46.25" hidden="false" customHeight="false" outlineLevel="0" collapsed="false">
      <c r="A61" s="6" t="s">
        <v>773</v>
      </c>
      <c r="B61" s="7" t="n">
        <v>5</v>
      </c>
      <c r="C61" s="6" t="s">
        <v>635</v>
      </c>
      <c r="D61" s="7" t="n">
        <v>3</v>
      </c>
      <c r="E61" s="6" t="s">
        <v>172</v>
      </c>
      <c r="F61" s="6" t="s">
        <v>63</v>
      </c>
      <c r="G61" s="7" t="n">
        <v>25</v>
      </c>
      <c r="H61" s="7" t="n">
        <v>1000</v>
      </c>
      <c r="I61" s="6" t="s">
        <v>774</v>
      </c>
      <c r="J61" s="6" t="s">
        <v>775</v>
      </c>
      <c r="K61" s="6" t="s">
        <v>776</v>
      </c>
      <c r="L61" s="6" t="s">
        <v>777</v>
      </c>
      <c r="M61" s="6" t="s">
        <v>778</v>
      </c>
      <c r="N61" s="6" t="s">
        <v>779</v>
      </c>
      <c r="O61" s="6" t="s">
        <v>780</v>
      </c>
      <c r="P61" s="6" t="s">
        <v>781</v>
      </c>
      <c r="Q61" s="6" t="s">
        <v>782</v>
      </c>
      <c r="R61" s="6" t="s">
        <v>783</v>
      </c>
      <c r="S61" s="8" t="s">
        <v>94</v>
      </c>
      <c r="T61" s="6" t="s">
        <v>784</v>
      </c>
      <c r="U61" s="6" t="s">
        <v>785</v>
      </c>
      <c r="V61" s="6" t="s">
        <v>662</v>
      </c>
      <c r="W61" s="9" t="s">
        <v>74</v>
      </c>
      <c r="X61" s="6" t="s">
        <v>75</v>
      </c>
    </row>
    <row r="62" customFormat="false" ht="35.05" hidden="false" customHeight="false" outlineLevel="0" collapsed="false">
      <c r="A62" s="6" t="s">
        <v>786</v>
      </c>
      <c r="B62" s="7" t="n">
        <v>0</v>
      </c>
      <c r="C62" s="6" t="s">
        <v>787</v>
      </c>
      <c r="D62" s="7" t="n">
        <v>1</v>
      </c>
      <c r="E62" s="6" t="s">
        <v>62</v>
      </c>
      <c r="F62" s="6" t="s">
        <v>63</v>
      </c>
      <c r="G62" s="7" t="n">
        <v>15</v>
      </c>
      <c r="H62" s="7" t="n">
        <v>500</v>
      </c>
      <c r="I62" s="6" t="s">
        <v>788</v>
      </c>
      <c r="J62" s="6" t="s">
        <v>789</v>
      </c>
      <c r="K62" s="6" t="s">
        <v>790</v>
      </c>
      <c r="L62" s="6" t="s">
        <v>790</v>
      </c>
      <c r="M62" s="6" t="s">
        <v>791</v>
      </c>
      <c r="N62" s="6" t="s">
        <v>791</v>
      </c>
      <c r="O62" s="6" t="s">
        <v>792</v>
      </c>
      <c r="P62" s="6" t="s">
        <v>792</v>
      </c>
      <c r="Q62" s="6" t="s">
        <v>793</v>
      </c>
      <c r="R62" s="6" t="s">
        <v>793</v>
      </c>
      <c r="S62" s="8" t="s">
        <v>94</v>
      </c>
      <c r="T62" s="6" t="s">
        <v>794</v>
      </c>
      <c r="U62" s="6" t="s">
        <v>795</v>
      </c>
      <c r="V62" s="6" t="s">
        <v>796</v>
      </c>
      <c r="W62" s="9" t="s">
        <v>74</v>
      </c>
      <c r="X62" s="6" t="s">
        <v>75</v>
      </c>
    </row>
    <row r="63" customFormat="false" ht="35.05" hidden="false" customHeight="false" outlineLevel="0" collapsed="false">
      <c r="A63" s="6" t="s">
        <v>797</v>
      </c>
      <c r="B63" s="7" t="n">
        <v>0</v>
      </c>
      <c r="C63" s="6" t="s">
        <v>787</v>
      </c>
      <c r="D63" s="7" t="n">
        <v>1</v>
      </c>
      <c r="E63" s="6" t="s">
        <v>62</v>
      </c>
      <c r="F63" s="6" t="s">
        <v>63</v>
      </c>
      <c r="G63" s="7" t="n">
        <v>15</v>
      </c>
      <c r="H63" s="7" t="n">
        <v>500</v>
      </c>
      <c r="I63" s="6" t="s">
        <v>798</v>
      </c>
      <c r="J63" s="6" t="s">
        <v>799</v>
      </c>
      <c r="K63" s="6" t="s">
        <v>137</v>
      </c>
      <c r="L63" s="6" t="s">
        <v>137</v>
      </c>
      <c r="M63" s="6" t="s">
        <v>360</v>
      </c>
      <c r="N63" s="6" t="s">
        <v>360</v>
      </c>
      <c r="O63" s="6" t="s">
        <v>141</v>
      </c>
      <c r="P63" s="6" t="s">
        <v>141</v>
      </c>
      <c r="Q63" s="6" t="s">
        <v>361</v>
      </c>
      <c r="R63" s="6" t="s">
        <v>361</v>
      </c>
      <c r="S63" s="8" t="s">
        <v>94</v>
      </c>
      <c r="T63" s="6" t="s">
        <v>800</v>
      </c>
      <c r="U63" s="6" t="s">
        <v>801</v>
      </c>
      <c r="V63" s="6" t="s">
        <v>802</v>
      </c>
      <c r="W63" s="9" t="s">
        <v>74</v>
      </c>
      <c r="X63" s="6" t="s">
        <v>75</v>
      </c>
    </row>
    <row r="64" customFormat="false" ht="35.05" hidden="false" customHeight="false" outlineLevel="0" collapsed="false">
      <c r="A64" s="6" t="s">
        <v>803</v>
      </c>
      <c r="B64" s="7" t="n">
        <v>0</v>
      </c>
      <c r="C64" s="6" t="s">
        <v>787</v>
      </c>
      <c r="D64" s="7" t="n">
        <v>2</v>
      </c>
      <c r="E64" s="6" t="s">
        <v>120</v>
      </c>
      <c r="F64" s="6" t="s">
        <v>63</v>
      </c>
      <c r="G64" s="7" t="n">
        <v>20</v>
      </c>
      <c r="H64" s="7" t="n">
        <v>750</v>
      </c>
      <c r="I64" s="6" t="s">
        <v>804</v>
      </c>
      <c r="J64" s="6" t="s">
        <v>805</v>
      </c>
      <c r="K64" s="6" t="s">
        <v>806</v>
      </c>
      <c r="L64" s="6" t="s">
        <v>806</v>
      </c>
      <c r="M64" s="6" t="s">
        <v>807</v>
      </c>
      <c r="N64" s="6" t="s">
        <v>807</v>
      </c>
      <c r="O64" s="6" t="s">
        <v>808</v>
      </c>
      <c r="P64" s="6" t="s">
        <v>808</v>
      </c>
      <c r="Q64" s="6" t="s">
        <v>809</v>
      </c>
      <c r="R64" s="6" t="s">
        <v>809</v>
      </c>
      <c r="S64" s="8" t="s">
        <v>210</v>
      </c>
      <c r="T64" s="6" t="s">
        <v>810</v>
      </c>
      <c r="U64" s="6" t="s">
        <v>811</v>
      </c>
      <c r="V64" s="6" t="s">
        <v>812</v>
      </c>
      <c r="W64" s="9" t="s">
        <v>74</v>
      </c>
      <c r="X64" s="6" t="s">
        <v>75</v>
      </c>
    </row>
    <row r="65" customFormat="false" ht="35.05" hidden="false" customHeight="false" outlineLevel="0" collapsed="false">
      <c r="A65" s="6" t="s">
        <v>813</v>
      </c>
      <c r="B65" s="7" t="n">
        <v>0</v>
      </c>
      <c r="C65" s="6" t="s">
        <v>787</v>
      </c>
      <c r="D65" s="7" t="n">
        <v>2</v>
      </c>
      <c r="E65" s="6" t="s">
        <v>120</v>
      </c>
      <c r="F65" s="6" t="s">
        <v>63</v>
      </c>
      <c r="G65" s="7" t="n">
        <v>20</v>
      </c>
      <c r="H65" s="7" t="n">
        <v>750</v>
      </c>
      <c r="I65" s="6" t="s">
        <v>814</v>
      </c>
      <c r="J65" s="6" t="s">
        <v>815</v>
      </c>
      <c r="K65" s="6" t="s">
        <v>816</v>
      </c>
      <c r="L65" s="6" t="s">
        <v>817</v>
      </c>
      <c r="M65" s="6" t="s">
        <v>818</v>
      </c>
      <c r="N65" s="6" t="s">
        <v>819</v>
      </c>
      <c r="O65" s="6" t="s">
        <v>820</v>
      </c>
      <c r="P65" s="6" t="s">
        <v>821</v>
      </c>
      <c r="Q65" s="6" t="s">
        <v>822</v>
      </c>
      <c r="R65" s="6" t="s">
        <v>823</v>
      </c>
      <c r="S65" s="8" t="s">
        <v>94</v>
      </c>
      <c r="T65" s="6" t="s">
        <v>824</v>
      </c>
      <c r="U65" s="6" t="s">
        <v>825</v>
      </c>
      <c r="V65" s="6" t="s">
        <v>826</v>
      </c>
      <c r="W65" s="9" t="s">
        <v>74</v>
      </c>
      <c r="X65" s="6" t="s">
        <v>75</v>
      </c>
    </row>
    <row r="66" customFormat="false" ht="35.05" hidden="false" customHeight="false" outlineLevel="0" collapsed="false">
      <c r="A66" s="6" t="s">
        <v>827</v>
      </c>
      <c r="B66" s="7" t="n">
        <v>0</v>
      </c>
      <c r="C66" s="6" t="s">
        <v>787</v>
      </c>
      <c r="D66" s="7" t="n">
        <v>3</v>
      </c>
      <c r="E66" s="6" t="s">
        <v>172</v>
      </c>
      <c r="F66" s="6" t="s">
        <v>63</v>
      </c>
      <c r="G66" s="7" t="n">
        <v>25</v>
      </c>
      <c r="H66" s="7" t="n">
        <v>1000</v>
      </c>
      <c r="I66" s="6" t="s">
        <v>828</v>
      </c>
      <c r="J66" s="6" t="s">
        <v>829</v>
      </c>
      <c r="K66" s="6" t="s">
        <v>293</v>
      </c>
      <c r="L66" s="6" t="s">
        <v>293</v>
      </c>
      <c r="M66" s="6" t="s">
        <v>294</v>
      </c>
      <c r="N66" s="6" t="s">
        <v>294</v>
      </c>
      <c r="O66" s="6" t="s">
        <v>295</v>
      </c>
      <c r="P66" s="6" t="s">
        <v>295</v>
      </c>
      <c r="Q66" s="6" t="s">
        <v>830</v>
      </c>
      <c r="R66" s="6" t="s">
        <v>830</v>
      </c>
      <c r="S66" s="8" t="s">
        <v>70</v>
      </c>
      <c r="T66" s="6" t="s">
        <v>831</v>
      </c>
      <c r="U66" s="6" t="s">
        <v>832</v>
      </c>
      <c r="V66" s="6" t="s">
        <v>833</v>
      </c>
      <c r="W66" s="9" t="s">
        <v>74</v>
      </c>
      <c r="X66" s="6" t="s">
        <v>75</v>
      </c>
    </row>
    <row r="67" customFormat="false" ht="46.25" hidden="false" customHeight="false" outlineLevel="0" collapsed="false">
      <c r="A67" s="6" t="s">
        <v>834</v>
      </c>
      <c r="B67" s="7" t="n">
        <v>0</v>
      </c>
      <c r="C67" s="6" t="s">
        <v>787</v>
      </c>
      <c r="D67" s="7" t="n">
        <v>3</v>
      </c>
      <c r="E67" s="6" t="s">
        <v>172</v>
      </c>
      <c r="F67" s="6" t="s">
        <v>63</v>
      </c>
      <c r="G67" s="7" t="n">
        <v>25</v>
      </c>
      <c r="H67" s="7" t="n">
        <v>1000</v>
      </c>
      <c r="I67" s="6" t="s">
        <v>835</v>
      </c>
      <c r="J67" s="6" t="s">
        <v>836</v>
      </c>
      <c r="K67" s="6" t="s">
        <v>837</v>
      </c>
      <c r="L67" s="6" t="s">
        <v>838</v>
      </c>
      <c r="M67" s="6" t="s">
        <v>839</v>
      </c>
      <c r="N67" s="6" t="s">
        <v>840</v>
      </c>
      <c r="O67" s="6" t="s">
        <v>841</v>
      </c>
      <c r="P67" s="6" t="s">
        <v>842</v>
      </c>
      <c r="Q67" s="6" t="s">
        <v>843</v>
      </c>
      <c r="R67" s="6" t="s">
        <v>844</v>
      </c>
      <c r="S67" s="8" t="s">
        <v>70</v>
      </c>
      <c r="T67" s="6" t="s">
        <v>845</v>
      </c>
      <c r="U67" s="6" t="s">
        <v>846</v>
      </c>
      <c r="V67" s="6" t="s">
        <v>847</v>
      </c>
      <c r="W67" s="9" t="s">
        <v>74</v>
      </c>
      <c r="X67" s="6" t="s">
        <v>75</v>
      </c>
    </row>
  </sheetData>
  <autoFilter ref="A1:X67"/>
  <dataValidations count="3">
    <dataValidation allowBlank="false" errorStyle="stop" operator="between" showDropDown="false" showErrorMessage="false" showInputMessage="false" sqref="X2:X67" type="list">
      <formula1>"TRUE,FALSE"</formula1>
      <formula2>0</formula2>
    </dataValidation>
    <dataValidation allowBlank="false" errorStyle="stop" operator="between" showDropDown="false" showErrorMessage="false" showInputMessage="false" sqref="W2:W67" type="list">
      <formula1>"Draf - perlu validasi,Divalidasi juru pelihara,Divalidasi Yayasan Indrasakti,Divalidasi guru sejarah,Ditinjau ulang (&gt;80% salah)"</formula1>
      <formula2>0</formula2>
    </dataValidation>
    <dataValidation allowBlank="false" errorStyle="stop" operator="between" showDropDown="false" showErrorMessage="false" showInputMessage="false" sqref="F2:F67" type="list">
      <formula1>"mc,tf"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5" min="2" style="0" width="14"/>
  </cols>
  <sheetData>
    <row r="1" customFormat="false" ht="17.35" hidden="false" customHeight="false" outlineLevel="0" collapsed="false">
      <c r="A1" s="1" t="s">
        <v>848</v>
      </c>
    </row>
    <row r="2" customFormat="false" ht="15" hidden="false" customHeight="false" outlineLevel="0" collapsed="false">
      <c r="A2" s="2" t="s">
        <v>849</v>
      </c>
    </row>
    <row r="4" customFormat="false" ht="15" hidden="false" customHeight="false" outlineLevel="0" collapsed="false">
      <c r="A4" s="5" t="s">
        <v>850</v>
      </c>
      <c r="B4" s="5" t="s">
        <v>62</v>
      </c>
      <c r="C4" s="5" t="s">
        <v>120</v>
      </c>
      <c r="D4" s="5" t="s">
        <v>172</v>
      </c>
      <c r="E4" s="5" t="s">
        <v>851</v>
      </c>
    </row>
    <row r="5" customFormat="false" ht="15" hidden="false" customHeight="false" outlineLevel="0" collapsed="false">
      <c r="A5" s="10" t="s">
        <v>61</v>
      </c>
      <c r="B5" s="11" t="n">
        <f aca="false">COUNTIFS('Bank Soal'!$B$2:$B$67,1,'Bank Soal'!$D$2:$D$67,1)</f>
        <v>5</v>
      </c>
      <c r="C5" s="11" t="n">
        <f aca="false">COUNTIFS('Bank Soal'!$B$2:$B$67,1,'Bank Soal'!$D$2:$D$67,2)</f>
        <v>4</v>
      </c>
      <c r="D5" s="11" t="n">
        <f aca="false">COUNTIFS('Bank Soal'!$B$2:$B$67,1,'Bank Soal'!$D$2:$D$67,3)</f>
        <v>3</v>
      </c>
      <c r="E5" s="12" t="n">
        <f aca="false">SUM(B5:D5)</f>
        <v>12</v>
      </c>
    </row>
    <row r="6" customFormat="false" ht="15" hidden="false" customHeight="false" outlineLevel="0" collapsed="false">
      <c r="A6" s="10" t="s">
        <v>215</v>
      </c>
      <c r="B6" s="11" t="n">
        <f aca="false">COUNTIFS('Bank Soal'!$B$2:$B$67,2,'Bank Soal'!$D$2:$D$67,1)</f>
        <v>5</v>
      </c>
      <c r="C6" s="11" t="n">
        <f aca="false">COUNTIFS('Bank Soal'!$B$2:$B$67,2,'Bank Soal'!$D$2:$D$67,2)</f>
        <v>4</v>
      </c>
      <c r="D6" s="11" t="n">
        <f aca="false">COUNTIFS('Bank Soal'!$B$2:$B$67,2,'Bank Soal'!$D$2:$D$67,3)</f>
        <v>3</v>
      </c>
      <c r="E6" s="12" t="n">
        <f aca="false">SUM(B6:D6)</f>
        <v>12</v>
      </c>
    </row>
    <row r="7" customFormat="false" ht="15" hidden="false" customHeight="false" outlineLevel="0" collapsed="false">
      <c r="A7" s="10" t="s">
        <v>355</v>
      </c>
      <c r="B7" s="11" t="n">
        <f aca="false">COUNTIFS('Bank Soal'!$B$2:$B$67,3,'Bank Soal'!$D$2:$D$67,1)</f>
        <v>5</v>
      </c>
      <c r="C7" s="11" t="n">
        <f aca="false">COUNTIFS('Bank Soal'!$B$2:$B$67,3,'Bank Soal'!$D$2:$D$67,2)</f>
        <v>4</v>
      </c>
      <c r="D7" s="11" t="n">
        <f aca="false">COUNTIFS('Bank Soal'!$B$2:$B$67,3,'Bank Soal'!$D$2:$D$67,3)</f>
        <v>3</v>
      </c>
      <c r="E7" s="12" t="n">
        <f aca="false">SUM(B7:D7)</f>
        <v>12</v>
      </c>
    </row>
    <row r="8" customFormat="false" ht="15" hidden="false" customHeight="false" outlineLevel="0" collapsed="false">
      <c r="A8" s="10" t="s">
        <v>500</v>
      </c>
      <c r="B8" s="11" t="n">
        <f aca="false">COUNTIFS('Bank Soal'!$B$2:$B$67,4,'Bank Soal'!$D$2:$D$67,1)</f>
        <v>5</v>
      </c>
      <c r="C8" s="11" t="n">
        <f aca="false">COUNTIFS('Bank Soal'!$B$2:$B$67,4,'Bank Soal'!$D$2:$D$67,2)</f>
        <v>4</v>
      </c>
      <c r="D8" s="11" t="n">
        <f aca="false">COUNTIFS('Bank Soal'!$B$2:$B$67,4,'Bank Soal'!$D$2:$D$67,3)</f>
        <v>3</v>
      </c>
      <c r="E8" s="12" t="n">
        <f aca="false">SUM(B8:D8)</f>
        <v>12</v>
      </c>
    </row>
    <row r="9" customFormat="false" ht="15" hidden="false" customHeight="false" outlineLevel="0" collapsed="false">
      <c r="A9" s="10" t="s">
        <v>635</v>
      </c>
      <c r="B9" s="11" t="n">
        <f aca="false">COUNTIFS('Bank Soal'!$B$2:$B$67,5,'Bank Soal'!$D$2:$D$67,1)</f>
        <v>5</v>
      </c>
      <c r="C9" s="11" t="n">
        <f aca="false">COUNTIFS('Bank Soal'!$B$2:$B$67,5,'Bank Soal'!$D$2:$D$67,2)</f>
        <v>4</v>
      </c>
      <c r="D9" s="11" t="n">
        <f aca="false">COUNTIFS('Bank Soal'!$B$2:$B$67,5,'Bank Soal'!$D$2:$D$67,3)</f>
        <v>3</v>
      </c>
      <c r="E9" s="12" t="n">
        <f aca="false">SUM(B9:D9)</f>
        <v>12</v>
      </c>
    </row>
    <row r="10" customFormat="false" ht="15" hidden="false" customHeight="false" outlineLevel="0" collapsed="false">
      <c r="A10" s="10" t="s">
        <v>787</v>
      </c>
      <c r="B10" s="11" t="n">
        <f aca="false">COUNTIFS('Bank Soal'!$B$2:$B$67,0,'Bank Soal'!$D$2:$D$67,1)</f>
        <v>2</v>
      </c>
      <c r="C10" s="11" t="n">
        <f aca="false">COUNTIFS('Bank Soal'!$B$2:$B$67,0,'Bank Soal'!$D$2:$D$67,2)</f>
        <v>2</v>
      </c>
      <c r="D10" s="11" t="n">
        <f aca="false">COUNTIFS('Bank Soal'!$B$2:$B$67,0,'Bank Soal'!$D$2:$D$67,3)</f>
        <v>2</v>
      </c>
      <c r="E10" s="12" t="n">
        <f aca="false">SUM(B10:D10)</f>
        <v>6</v>
      </c>
    </row>
    <row r="11" customFormat="false" ht="15" hidden="false" customHeight="false" outlineLevel="0" collapsed="false">
      <c r="A11" s="13" t="s">
        <v>852</v>
      </c>
      <c r="B11" s="12" t="n">
        <f aca="false">SUM(B5:B10)</f>
        <v>27</v>
      </c>
      <c r="C11" s="12" t="n">
        <f aca="false">SUM(C5:C10)</f>
        <v>22</v>
      </c>
      <c r="D11" s="12" t="n">
        <f aca="false">SUM(D5:D10)</f>
        <v>17</v>
      </c>
      <c r="E11" s="12" t="n">
        <f aca="false">SUM(E5:E10)</f>
        <v>66</v>
      </c>
    </row>
    <row r="14" customFormat="false" ht="15" hidden="false" customHeight="false" outlineLevel="0" collapsed="false">
      <c r="A14" s="14" t="s">
        <v>853</v>
      </c>
    </row>
    <row r="15" customFormat="false" ht="15" hidden="false" customHeight="false" outlineLevel="0" collapsed="false">
      <c r="A15" s="14" t="s">
        <v>854</v>
      </c>
      <c r="C15" s="15" t="n">
        <f aca="false">COUNTIF('Bank Soal'!$W$2:$W$67,"Draf - perlu validasi")</f>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2026-09-20T04:05:49Z</dcterms:created>
  <dc:creator>openpyxl</dc:creator>
  <dc:description/>
  <dc:language>en-US</dc:language>
  <cp:lastModifiedBy/>
  <dcterms:modified xsi:type="dcterms:W3CDTF">2026-09-20T04:05:50Z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